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trix" sheetId="1" state="visible" r:id="rId3"/>
    <sheet name="Summary by Category" sheetId="2" state="visible" r:id="rId4"/>
    <sheet name="Legend &amp; Notes" sheetId="3" state="visible" r:id="rId5"/>
    <sheet name="Website Essentials Checklist" sheetId="4" state="visible" r:id="rId6"/>
  </sheets>
  <definedNames>
    <definedName function="false" hidden="false" localSheetId="0" name="_xlnm.Print_Titles" vbProcedure="false">'Feature Matrix'!$1:$1</definedName>
    <definedName function="false" hidden="true" localSheetId="0" name="_xlnm._FilterDatabase" vbProcedure="false">'Feature Matrix'!$A$1:$F$36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<sst xmlns="http://schemas.openxmlformats.org/spreadsheetml/2006/main" count="800" uniqueCount="561">
  <si>
    <t xml:space="preserve">ID</t>
  </si>
  <si>
    <t xml:space="preserve">Feature</t>
  </si>
  <si>
    <t xml:space="preserve">Frontend Work Required</t>
  </si>
  <si>
    <t xml:space="preserve">Backend Work Required</t>
  </si>
  <si>
    <t xml:space="preserve">AI/ML Work Required</t>
  </si>
  <si>
    <t xml:space="preserve">Data &amp; Storage Work Required</t>
  </si>
  <si>
    <t xml:space="preserve">Owner (Part 4 split)</t>
  </si>
  <si>
    <t xml:space="preserve">M1</t>
  </si>
  <si>
    <t xml:space="preserve">Document Ingestion &amp; Preprocessing</t>
  </si>
  <si>
    <t xml:space="preserve">NO — Internal pipeline stage; D5's admin panel is the only UI surface, and it triggers this rather than being part of it.</t>
  </si>
  <si>
    <t xml:space="preserve">YES — Ingestion job orchestration triggered from D5's admin panel or X4's scheduled crawler; queued via Redis/BullMQ so large runs don't block the request thread; writes job-status updates D5 polls; unit-of-work pattern grouping DB writes per ingestion run so a partial failure doesn't leave orphaned chunks.</t>
  </si>
  <si>
    <t xml:space="preserve">YES — Text extraction from BIS's HTML/PDF sources (unstructured or PyMuPDF) with structure parsing (headings/sections/tables) so M2's chunking respects document structure. Scope is explicitly the openly-published pages - standards catalogue/search, product-cert scheme pages, licensing/certification procedure pages, FAQs, circulars, hallmarking pages - not paywalled full clause text. Read bis.gov.in/robots.txt and its terms-of-use before writing any crawler code.</t>
  </si>
  <si>
    <t xml:space="preserve">YES — Raw document storage (object-storage reference + metadata: source URL, ingest date, checksum for idempotent re-crawls); parsed-structure cache so M2 doesn't re-parse on every run.</t>
  </si>
  <si>
    <t xml:space="preserve">Person 4</t>
  </si>
  <si>
    <t xml:space="preserve">M2</t>
  </si>
  <si>
    <t xml:space="preserve">Chunking &amp; Embedding Pipeline</t>
  </si>
  <si>
    <t xml:space="preserve">NO — Internal pipeline stage.</t>
  </si>
  <si>
    <t xml:space="preserve">NO — Almost entirely AI/ML + DB work; invoked by M1's job trigger and X4's incremental updates, no general backend logic of its own.</t>
  </si>
  <si>
    <t xml:space="preserve">YES — Chunking strategy (fixed-size vs. semantic/recursive via LangChain/LlamaIndex text splitters) with overlap tuning to preserve context across boundaries; embedding-model selection (local sentence-transformers vs. a hosted API model - a real cost/latency tradeoff, see Budget notes in Legend); deduplication of near-identical chunks across sources.</t>
  </si>
  <si>
    <t xml:space="preserve">YES — pgvector schema (one Postgres instance doubling as relational store + vector index - no separate vector DB unless pgvector becomes a real bottleneck); embeddings stored alongside relational chunk metadata (doc ID, section, source URL); disaster-recovery plan for the vector index (rebuild-from-source).</t>
  </si>
  <si>
    <t xml:space="preserve">Person 4 (+ Person 6 – data schema)</t>
  </si>
  <si>
    <t xml:space="preserve">M3</t>
  </si>
  <si>
    <t xml:space="preserve">Vector Search / Semantic Retrieval</t>
  </si>
  <si>
    <t xml:space="preserve">NO — Internal; consumed transitively via D1 (chat) and D2 (browser, as metadata-filtered search).</t>
  </si>
  <si>
    <t xml:space="preserve">YES — Query orchestration and timeout/retry handling on the vector-DB call; result-set assembly for M5 - light backend scope.</t>
  </si>
  <si>
    <t xml:space="preserve">YES — HNSW vs. IVF index-type tradeoffs on pgvector; hybrid search combining vector similarity with keyword/BM25 (the explicit fallback for exact IS-number lookups vector search handles poorly); reranking retrieved chunks before generation; metadata filtering by document type/date/category (shared with D2).</t>
  </si>
  <si>
    <t xml:space="preserve">YES — pgvector index build/maintenance; query-time recall/latency tuning; load-test with concurrent sessions before the demo, per the risk register. Full-text search indexing shared with D2's standards browser.</t>
  </si>
  <si>
    <t xml:space="preserve">Person 5</t>
  </si>
  <si>
    <t xml:space="preserve">M4</t>
  </si>
  <si>
    <t xml:space="preserve">Query Understanding</t>
  </si>
  <si>
    <t xml:space="preserve">NO — Pure NLP logic.</t>
  </si>
  <si>
    <t xml:space="preserve">YES — Intent classification across the four defined intents (standard lookup, certification process, licensing, general query) via a rule engine or lightweight classifier; named-entity extraction (product category, IS number) to filter/boost retrieval and feed M7's taxonomy.</t>
  </si>
  <si>
    <t xml:space="preserve">NO — Extraction results are ephemeral, scoped to a single request.</t>
  </si>
  <si>
    <t xml:space="preserve">M5</t>
  </si>
  <si>
    <t xml:space="preserve">RAG Answer Generation</t>
  </si>
  <si>
    <t xml:space="preserve">NO — Internal; streamed to the user via D1's SSE client.</t>
  </si>
  <si>
    <t xml:space="preserve">YES — Server-Sent Events streaming to the frontend; circuit-breaker pattern and retry-with-backoff around the LLM API call; an LLM-provider abstraction layer so the provider can be swapped without a rewrite; centralized logging for LLM call tracing/debugging.</t>
  </si>
  <si>
    <t xml:space="preserve">YES — Prompt construction with retrieved-context injection; prompt template management and versioning (shared with X2); semantic caching of near-duplicate queries to cut cost (shared with P3). The system prompt must treat both retrieved chunks and user input strictly as data, never as instructions - the core prompt-injection defense for the whole system.</t>
  </si>
  <si>
    <t xml:space="preserve">NO — Optionally logs prompt version + retrieved chunk IDs per answer, feeding the evaluation harness (see Legend).</t>
  </si>
  <si>
    <t xml:space="preserve">M6</t>
  </si>
  <si>
    <t xml:space="preserve">Citation &amp; Source Linking</t>
  </si>
  <si>
    <t xml:space="preserve">NO — Rendered by D1's citation chips and D3's viewer.</t>
  </si>
  <si>
    <t xml:space="preserve">NO — Logic lives entirely in the AI/ML layer.</t>
  </si>
  <si>
    <t xml:space="preserve">YES — Grounding/citation enforcement in generation - attaches every answer with the specific standard number, section, and source link it was drawn from; citation-formatting as a pure transformation function for a consistent, testable output shape.</t>
  </si>
  <si>
    <t xml:space="preserve">YES — Chunk metadata schema (doc ID, section, source URL) captured at ingestion (M1/M2) and read here at generation time - the schema D3 also reads from.</t>
  </si>
  <si>
    <t xml:space="preserve">M7</t>
  </si>
  <si>
    <t xml:space="preserve">Product-to-Standard Recommendation</t>
  </si>
  <si>
    <t xml:space="preserve">NO — Exposed via D1 (free-text) and D9's guided wizard.</t>
  </si>
  <si>
    <t xml:space="preserve">NO — No general backend logic beyond invocation.</t>
  </si>
  <si>
    <t xml:space="preserve">YES — Product classification taxonomy design (shared with D9's wizard structure); matching logic between a plain-language product description and applicable Indian Standards via classification plus retrieval, ranked by confidence.</t>
  </si>
  <si>
    <t xml:space="preserve">YES — Taxonomy table and product-to-standard mapping table, curated rather than purely learned - light DB scope.</t>
  </si>
  <si>
    <t xml:space="preserve">M8</t>
  </si>
  <si>
    <t xml:space="preserve">Confidence Scoring &amp; Fallback</t>
  </si>
  <si>
    <t xml:space="preserve">NO — Surfaced via X3's escalation UI or a low-confidence badge in D1.</t>
  </si>
  <si>
    <t xml:space="preserve">YES — Confidence/uncertainty estimation from retrieval scores; pure-function design for the scoring itself; configurable retrieval-threshold tuning (shared with X2) - below threshold, the assistant declines and redirects to the BIS helpdesk instead of guessing. Tune conservatively specifically for demo day per the risk register.</t>
  </si>
  <si>
    <t xml:space="preserve">NO — Score computed per-request; optionally logged if a gap-analytics feature is built later.</t>
  </si>
  <si>
    <t xml:space="preserve">M9</t>
  </si>
  <si>
    <t xml:space="preserve">Conversation Session Management</t>
  </si>
  <si>
    <t xml:space="preserve">YES — Reconnect logic on a dropped SSE/WebSocket; session heartbeat/keepalive handling so a multi-turn follow-up ("what about hallmarking for that one?") still resolves after a brief disconnect.</t>
  </si>
  <si>
    <t xml:space="preserve">YES — WebSocket/SSE session management for live chat; connection lifecycle management (open/close/reconnect); maps a connection to conversation_id + user session; handles multiple concurrent tabs per user.</t>
  </si>
  <si>
    <t xml:space="preserve">NO — Maintains context state for M4/M5 to consume; the multi-turn resolution itself is M4's intent/entity extraction working against session history, not this feature.</t>
  </si>
  <si>
    <t xml:space="preserve">YES — Session state, Redis-backed given Redis is already in the stack for BullMQ (ephemeral, not Postgres-persisted).</t>
  </si>
  <si>
    <t xml:space="preserve">Person 3</t>
  </si>
  <si>
    <t xml:space="preserve">D1</t>
  </si>
  <si>
    <t xml:space="preserve">Conversational Chat Interface</t>
  </si>
  <si>
    <t xml:space="preserve">YES — Mobile-first chat UI (component-based, Zustand state); streaming answer rendering token-by-token via the SSE client; optimistic UI for sent messages; inline citation-chip rendering; skeleton loading states; error-boundary handling; responsive breakpoints; accessibility (screen reader, contrast).</t>
  </si>
  <si>
    <t xml:space="preserve">YES — Endpoint to accept a new message and create a placeholder assistant row; SSE gateway proxying the token stream from the FastAPI RAG service; persists user message on send and assistant message on stream completion; per-message auth + rate-limit check (P1).</t>
  </si>
  <si>
    <t xml:space="preserve">NO — Pure transport/rendering layer for M3-M6's output; owns no retrieval or generation logic itself.</t>
  </si>
  <si>
    <t xml:space="preserve">YES — Conversation &amp; message schema (conversation_id, message_id, role, content, citations, created_at); FK to user; index on conversation_id for history pagination (shared with D4).</t>
  </si>
  <si>
    <t xml:space="preserve">Person 1</t>
  </si>
  <si>
    <t xml:space="preserve">D2</t>
  </si>
  <si>
    <t xml:space="preserve">Standards Browser &amp; Search</t>
  </si>
  <si>
    <t xml:space="preserve">YES — Traditional keyword/browse view for users who'd rather scan than chat; debounced search/autocomplete; virtualized results list.</t>
  </si>
  <si>
    <t xml:space="preserve">YES — Search endpoint layered on M3's hybrid vector+BM25 retrieval plus dedicated metadata filtering (by document type/date/category) for browse-style exact lookups; Redis cache for popular queries.</t>
  </si>
  <si>
    <t xml:space="preserve">NO — Consumes M3's hybrid search as a client; owns no retrieval logic of its own beyond filter parameters.</t>
  </si>
  <si>
    <t xml:space="preserve">YES — Full-text search indexing shared with M3; standards metadata table (IS number, title, category, status).</t>
  </si>
  <si>
    <t xml:space="preserve">Person 2</t>
  </si>
  <si>
    <t xml:space="preserve">D3</t>
  </si>
  <si>
    <t xml:space="preserve">Source / Citation Viewer</t>
  </si>
  <si>
    <t xml:space="preserve">YES — Click-through panel showing exactly where a cited answer came from, so a user can verify it themselves; citation chip / inline source rendering (shared with D1, M6).</t>
  </si>
  <si>
    <t xml:space="preserve">YES — Endpoint to fetch a chunk/document by ID with surrounding context; signed URL generation if source content sits in object storage.</t>
  </si>
  <si>
    <t xml:space="preserve">NO — Pure retrieval-by-ID and rendering; depends on M6's citation metadata but does no generation itself.</t>
  </si>
  <si>
    <t xml:space="preserve">YES — Reads M6's chunk metadata schema (doc ID, section, source URL); owns no new table.</t>
  </si>
  <si>
    <t xml:space="preserve">D4</t>
  </si>
  <si>
    <t xml:space="preserve">Conversation History</t>
  </si>
  <si>
    <t xml:space="preserve">YES — Saved past sessions per user; virtualized list for long conversation/history views; click-to-resume without re-asking.</t>
  </si>
  <si>
    <t xml:space="preserve">YES — Cursor-paginated list endpoint ordered by updated_at; resume endpoint loading full message history.</t>
  </si>
  <si>
    <t xml:space="preserve">NO — Pure CRUD/retrieval feature.</t>
  </si>
  <si>
    <t xml:space="preserve">YES — Conversation table (id, user_id, title, created_at, updated_at); composite index (user_id, updated_at DESC), schema shared with D1/M9.</t>
  </si>
  <si>
    <t xml:space="preserve">D5</t>
  </si>
  <si>
    <t xml:space="preserve">Admin Document Management Panel</t>
  </si>
  <si>
    <t xml:space="preserve">YES — Upload/update/retire source documents; per-document ingestion-status tracker; skeleton loading states.</t>
  </si>
  <si>
    <t xml:space="preserve">YES — Multipart upload to object storage; calls M1's ingestion trigger and X4's re-ingestion path; admin authentication and session management; audit logging of admin document changes; admin-only RBAC guard.</t>
  </si>
  <si>
    <t xml:space="preserve">NO — Orchestration/UI layer that triggers M1/M2; does no extraction or embedding itself.</t>
  </si>
  <si>
    <t xml:space="preserve">YES — Audit-log schema for admin document changes; ingestion job-status table (doc_id, stage, error_message, timestamps), separate from M1's raw doc storage.</t>
  </si>
  <si>
    <t xml:space="preserve">D6</t>
  </si>
  <si>
    <t xml:space="preserve">Usage Analytics Dashboard</t>
  </si>
  <si>
    <t xml:space="preserve">YES — Surfaces top query topics, low-confidence/unanswered queries, and coverage gaps - direct value to BIS as a stakeholder, not just end users.</t>
  </si>
  <si>
    <t xml:space="preserve">YES — Aggregation endpoints querying X8's analytics tables.</t>
  </si>
  <si>
    <t xml:space="preserve">NO — Pure consumer of X8's precomputed, anonymized analytics; does no clustering itself.</t>
  </si>
  <si>
    <t xml:space="preserve">NO — Reads X8's analytics tables; defines no schema of its own.</t>
  </si>
  <si>
    <t xml:space="preserve">D7</t>
  </si>
  <si>
    <t xml:space="preserve">Feedback Capture UI</t>
  </si>
  <si>
    <t xml:space="preserve">YES — Thumbs up/down plus optional free-text feedback per answer.</t>
  </si>
  <si>
    <t xml:space="preserve">YES — Records feedback tied to message_id + user_id; feeds a review queue.</t>
  </si>
  <si>
    <t xml:space="preserve">NO — Capture/logging only; does not analyze feedback content itself.</t>
  </si>
  <si>
    <t xml:space="preserve">YES — Feedback and review-queue schema.</t>
  </si>
  <si>
    <t xml:space="preserve">D8</t>
  </si>
  <si>
    <t xml:space="preserve">Multi-Language Toggle (English + Hindi)</t>
  </si>
  <si>
    <t xml:space="preserve">YES — i18n architecture (react-i18next) switching both UI chrome and assistant responses between English and Hindi.</t>
  </si>
  <si>
    <t xml:space="preserve">YES — Passes selected language through to the RAG service per request.</t>
  </si>
  <si>
    <t xml:space="preserve">YES — Prompts M5's generation to answer in Hindi or English as selected; quality needs explicit per-language evaluation rather than assumed parity with the English pipeline.</t>
  </si>
  <si>
    <t xml:space="preserve">YES — User language preference on profile - light DB scope.</t>
  </si>
  <si>
    <t xml:space="preserve">D9</t>
  </si>
  <si>
    <t xml:space="preserve">Guided Product Classification Wizard</t>
  </si>
  <si>
    <t xml:space="preserve">YES — Step-by-step Q&amp;A flow (form-validation architecture) for users who'd rather answer structured questions than free-type a product description.</t>
  </si>
  <si>
    <t xml:space="preserve">YES — Assembles wizard answers into a structured query and calls M7's classification/recommendation logic.</t>
  </si>
  <si>
    <t xml:space="preserve">NO — All classification intelligence lives in M7; this is a structured intake form calling it, sharing M7's taxonomy design.</t>
  </si>
  <si>
    <t xml:space="preserve">NO — No new schema beyond optional wizard-session logging.</t>
  </si>
  <si>
    <t xml:space="preserve">D10</t>
  </si>
  <si>
    <t xml:space="preserve">Role-Based Views (Public / Industry / Admin)</t>
  </si>
  <si>
    <t xml:space="preserve">YES — Distinct default views per role (Public/Industry/Admin) - same data, different lens; role-based UI rendering; feature flagging for phased X1-X12 rollout.</t>
  </si>
  <si>
    <t xml:space="preserve">YES — RBAC with roles, built on P1's auth; per-role feature access scoping middleware.</t>
  </si>
  <si>
    <t xml:space="preserve">NO — Pure access-control feature.</t>
  </si>
  <si>
    <t xml:space="preserve">YES — Role field on user table.</t>
  </si>
  <si>
    <t xml:space="preserve">X1</t>
  </si>
  <si>
    <t xml:space="preserve">Clause/Section-Level Deep Linking</t>
  </si>
  <si>
    <t xml:space="preserve">NO — Rendering is D3's job.</t>
  </si>
  <si>
    <t xml:space="preserve">NO — No dedicated backend logic.</t>
  </si>
  <si>
    <t xml:space="preserve">YES — Resolves a citation to the specific section/scope statement of the source document (ties into M6's enforcement), requiring M1's structure parsing to have captured clause numbering. SCOPE RISK: if full clause text isn't licensable, this falls back to standard number + title + scope + section heading rather than verbatim clause text - still a real differentiator over no citation, but confirm the licensing question before committing to the full-clause version.</t>
  </si>
  <si>
    <t xml:space="preserve">NO — Adds a clause-anchor field to M6's existing chunk-metadata schema rather than owning a new table.</t>
  </si>
  <si>
    <t xml:space="preserve">X2</t>
  </si>
  <si>
    <t xml:space="preserve">Hallucination Guardrail / Cite-or-Decline</t>
  </si>
  <si>
    <t xml:space="preserve">NO — D1 renders the decline state when triggered.</t>
  </si>
  <si>
    <t xml:space="preserve">YES — THE feature the pitch leans on hardest: generation is architecturally constrained to only state facts backed by a retrieved chunk, with anything unsupported withheld or flagged - not a prompt-only instruction to "cite your sources." Requires an evaluation harness: a golden Q&amp;A set (~30-50 questions, five-intent coverage) tracking groundedness rate and decline rate throughout the build - needed live for the "what's your accuracy" judge question. Treated as mandatory-adjacent given the trust bar for a government tool.</t>
  </si>
  <si>
    <t xml:space="preserve">NO — Golden Q&amp;A set can live as a versioned fixture file; a table only if it needs to be admin-editable.</t>
  </si>
  <si>
    <t xml:space="preserve">X3</t>
  </si>
  <si>
    <t xml:space="preserve">Human-in-the-Loop Escalation</t>
  </si>
  <si>
    <t xml:space="preserve">YES — "Escalate to human" / low-confidence redirect UI pointing to the BIS helpdesk.</t>
  </si>
  <si>
    <t xml:space="preserve">YES — Auto-routes low-confidence or sensitive queries to a BIS helpdesk contact/ticket instead of returning a guess.</t>
  </si>
  <si>
    <t xml:space="preserve">YES — Consumes M8's confidence score and X2's decline signal as the trigger; does not compute the score itself, only the threshold-based routing decision.</t>
  </si>
  <si>
    <t xml:space="preserve">YES — Escalation/ticket table (message_id, reason, status, created_at).</t>
  </si>
  <si>
    <t xml:space="preserve">X4</t>
  </si>
  <si>
    <t xml:space="preserve">Auto-Updating Knowledge Base Crawler</t>
  </si>
  <si>
    <t xml:space="preserve">NO — Scheduled job; status surfaces only in D5/P4.</t>
  </si>
  <si>
    <t xml:space="preserve">YES — Background job scheduling (cron-style) watching bis.gov.in/circulars for new or revised entries; idempotency in re-ingestion jobs via checksum comparison; cache invalidation on document re-ingestion.</t>
  </si>
  <si>
    <t xml:space="preserve">YES — Incremental re-embedding limited to changed sections (diff detection) rather than re-embedding the whole corpus on every run.</t>
  </si>
  <si>
    <t xml:space="preserve">YES — Data archival strategy for superseded standards (versioned, marked superseded rather than deleted - compliance history matters here); shares disaster-recovery concerns with M2.</t>
  </si>
  <si>
    <t xml:space="preserve">X5</t>
  </si>
  <si>
    <t xml:space="preserve">Compliance Checklist Generator</t>
  </si>
  <si>
    <t xml:space="preserve">YES — Checklist UI (testing required, documents needed, licensing steps) per matched product + standard.</t>
  </si>
  <si>
    <t xml:space="preserve">YES — Structured transform turning M1's parsed requirements into a checklist data structure.</t>
  </si>
  <si>
    <t xml:space="preserve">NO — Checklist-generation as a deterministic structured transformation function, not new ML; quality depends on M1's parsing being clean and M7's product-match being correct.</t>
  </si>
  <si>
    <t xml:space="preserve">YES — Checklist-template table per standard - light DB scope.</t>
  </si>
  <si>
    <t xml:space="preserve">Person 6</t>
  </si>
  <si>
    <t xml:space="preserve">X6</t>
  </si>
  <si>
    <t xml:space="preserve">WhatsApp Bot Channel</t>
  </si>
  <si>
    <t xml:space="preserve">NO — WhatsApp is the interface; note the UI/UX parity constraint - no rich UI, text-only design, so D1's citation-chip pattern needs a plain-text equivalent for this channel.</t>
  </si>
  <si>
    <t xml:space="preserve">YES — Webhook handling for the WhatsApp Business (Cloud) API; routes inbound messages into the same M3-M6 pipeline as the web chat. ACTION PLAN: start Meta Business Manager + Cloud API verification immediately (most likely step to take real calendar time); build/demo against the free sandbox test number (5 pre-registered recipients) while verification is pending; register under the mentor institution, not a personal account.</t>
  </si>
  <si>
    <t xml:space="preserve">NO — Routes into the same pipeline as other channels; no channel-specific ML logic.</t>
  </si>
  <si>
    <t xml:space="preserve">YES — WhatsApp session/opt-in state table mapping phone number to internal conversation_id - light DB scope. POLICY RISK: Meta's WhatsApp Business terms (effective 15 Jan 2026) bar general-purpose AI assistants as the primary functionality of a presence. Safer framing: scope this channel to structured, named intents (lookup, certification steps, checklist delivery) with explicit handoff to the BIS helpdesk for open-ended queries, rather than a general assistant - this is a scoping decision to build, not something already true by default.</t>
  </si>
  <si>
    <t xml:space="preserve">X7</t>
  </si>
  <si>
    <t xml:space="preserve">Voice Query Support (Hindi + English)</t>
  </si>
  <si>
    <t xml:space="preserve">YES — Voice input capture and waveform UI; record button with mic-permission handling; playback before send.</t>
  </si>
  <si>
    <t xml:space="preserve">YES — Audio upload handling (size limits, format conversion).</t>
  </si>
  <si>
    <t xml:space="preserve">YES — Speech-to-text in both Hindi and English - an ML dependency this feature owns the integration of, not just plumbing; transcript normalization before handing off to M4's query understanding.</t>
  </si>
  <si>
    <t xml:space="preserve">NO — Audio is transient; the resulting transcript is logged as a normal message, no new schema.</t>
  </si>
  <si>
    <t xml:space="preserve">X8</t>
  </si>
  <si>
    <t xml:space="preserve">Standards Gap Analytics for BIS</t>
  </si>
  <si>
    <t xml:space="preserve">NO — D6 owns the dashboard UI; this owns the aggregation underneath it.</t>
  </si>
  <si>
    <t xml:space="preserve">YES — Aggregated, anonymized query-analytics job surfaced back to BIS.</t>
  </si>
  <si>
    <t xml:space="preserve">YES — Uses M4's intent/entity output to identify which standards get asked about most and where documentation is unclear - a genuine analytics/clustering task over query logs, directly valuable to the sponsoring ministry.</t>
  </si>
  <si>
    <t xml:space="preserve">YES — Analytics tables (aggregated, anonymized, separate from raw conversation logs for privacy).</t>
  </si>
  <si>
    <t xml:space="preserve">X9</t>
  </si>
  <si>
    <t xml:space="preserve">Offline-First PWA with Cached Top Queries</t>
  </si>
  <si>
    <t xml:space="preserve">YES — PWA manifest and service-worker caching strategy; offline detection and cached-content fallback; installable web app caching the most-queried standards/answers for low-connectivity use.</t>
  </si>
  <si>
    <t xml:space="preserve">NO — No new server logic; pure client-caching strategy on top of existing APIs.</t>
  </si>
  <si>
    <t xml:space="preserve">NO — No AI/ML logic.</t>
  </si>
  <si>
    <t xml:space="preserve">NO — Cached-query storage lives client-side (service worker cache / IndexedDB), not a server database.</t>
  </si>
  <si>
    <t xml:space="preserve">X10</t>
  </si>
  <si>
    <t xml:space="preserve">Public REST API for Third-Party Portals</t>
  </si>
  <si>
    <t xml:space="preserve">YES — API-key management / developer-portal surface signaling "platform" - light frontend scope, may lean on generated docs.</t>
  </si>
  <si>
    <t xml:space="preserve">YES — API and service SLA definition for the public API; documented endpoints wrapping the chat/search pipeline so MSME/Udyam-style portals can embed the assistant; separate API-key auth and per-key rate limiting, distinct from P1's session-cookie auth.</t>
  </si>
  <si>
    <t xml:space="preserve">NO — Exposes the existing RAG pipeline over a stable surface; adds no new ML logic.</t>
  </si>
  <si>
    <t xml:space="preserve">YES — API-key table (key hash, owner, scopes, revoked_at); per-key usage log.</t>
  </si>
  <si>
    <t xml:space="preserve">X11</t>
  </si>
  <si>
    <t xml:space="preserve">Plain-Language Explainer Layer</t>
  </si>
  <si>
    <t xml:space="preserve">NO — D1 renders an "explain simply" toggle alongside the citation.</t>
  </si>
  <si>
    <t xml:space="preserve">YES — Template engine for plain-language explainer generation as a secondary LLM pass - every technical clause cited is auto-accompanied by a one-paragraph plain-language explanation, directly closing the jargon gap the problem statement calls out. Accuracy to the source clause (not a generic paraphrase) is the pass/fail bar per the golden Q&amp;A test set.</t>
  </si>
  <si>
    <t xml:space="preserve">NO — No new schema.</t>
  </si>
  <si>
    <t xml:space="preserve">X12</t>
  </si>
  <si>
    <t xml:space="preserve">Multi-Turn Comparative Queries</t>
  </si>
  <si>
    <t xml:space="preserve">NO — D1 renders any structured diff via existing markdown/table support.</t>
  </si>
  <si>
    <t xml:space="preserve">YES — Diffing algorithm for standard-to-standard comparison - retrieves and diffs two standards side by side, with both standards individually cited rather than blended into one citation; layered on M4's intent classification plus M9's session context to resolve "for this" against the prior exchange.</t>
  </si>
  <si>
    <t xml:space="preserve">P1</t>
  </si>
  <si>
    <t xml:space="preserve">Authentication &amp; Rate Limiting</t>
  </si>
  <si>
    <t xml:space="preserve">YES — Light auth for public users (session cookie handling, no full login wall); admin login form and session UI; 429 rate-limit error handling.</t>
  </si>
  <si>
    <t xml:space="preserve">YES — JWT for the API; simple session cookies for the public chat (explicitly no full SSO/Keycloak setup, unlike the earlier ECDAT spec - this system doesn't carry the same enterprise-identity requirement); rate-limiting middleware protecting the LLM backend from abuse; proper RBAC for admins (feeds D10); password/credential hashing; secrets management for LLM/API keys shared with P3.</t>
  </si>
  <si>
    <t xml:space="preserve">NO — Pure security/infra feature.</t>
  </si>
  <si>
    <t xml:space="preserve">YES — Credentials table; rate-limit counters (Redis-backed).</t>
  </si>
  <si>
    <t xml:space="preserve">P2</t>
  </si>
  <si>
    <t xml:space="preserve">Data Retention &amp; Privacy Controls</t>
  </si>
  <si>
    <t xml:space="preserve">YES — Any user-facing retention/privacy disclosure the ministry-facing trust bar requires - light frontend scope.</t>
  </si>
  <si>
    <t xml:space="preserve">YES — Configurable retention for chat logs and query history - needs an actual stated number before the pitch (a judge is likely to ask about business details typed into chat), not an abstract policy line; shares archival infrastructure with X4.</t>
  </si>
  <si>
    <t xml:space="preserve">NO — Policy/infra feature, no ML. Note: prompt-injection defense (treating user input and retrieved chunks as data, not instructions) is the related security concern, but it's owned by M5, not here.</t>
  </si>
  <si>
    <t xml:space="preserve">YES — Retention-config table; audit-log schema for admin document changes shared with D5.</t>
  </si>
  <si>
    <t xml:space="preserve">P3</t>
  </si>
  <si>
    <t xml:space="preserve">LLM Cost &amp; Usage Monitoring</t>
  </si>
  <si>
    <t xml:space="preserve">YES — Cost/usage dashboard (token spend, cache hit rate, per-query cost) - the one part of the stack with a real per-query dollar cost, and a good live demo of operational maturity alongside P4.</t>
  </si>
  <si>
    <t xml:space="preserve">YES — Token/cost tracking wrapping every M5 call; cost guardrails on the LLM API (budget alerts) from day one rather than a later feature, per the risk register; centralized logging for LLM call tracing shared with M5; LLM-provider abstraction layer shared with M5.</t>
  </si>
  <si>
    <t xml:space="preserve">YES — Semantic caching of near-duplicate queries (shared mechanism with M5) is the main cost-reduction lever, and is explicitly credited as mitigation for LLM cost/rate-limit risk in the risk register - light AI/ML scope.</t>
  </si>
  <si>
    <t xml:space="preserve">YES — Usage/cost logs; needs a real rupee ceiling defined before the budget-alert threshold means anything (the budget estimate is drivers-only until an LLM/embedding provider is actually chosen).</t>
  </si>
  <si>
    <t xml:space="preserve">P4</t>
  </si>
  <si>
    <t xml:space="preserve">System Health / Ingestion Ops Page</t>
  </si>
  <si>
    <t xml:space="preserve">YES — Ops status UI (ingestion pipeline status, last successful crawl, vector-index freshness, API uptime) - a good live demo of operational maturity.</t>
  </si>
  <si>
    <t xml:space="preserve">YES — Health-check endpoints across the NestJS backend, FastAPI RAG service, Postgres, and Redis; monitoring and alerting for the ingestion pipeline; basic structured logging is enough for the hackathon MVP (skip a full Prometheus/Grafana buildout unless time allows).</t>
  </si>
  <si>
    <t xml:space="preserve">NO — Pure ops/monitoring feature.</t>
  </si>
  <si>
    <t xml:space="preserve">YES — Vector-index freshness tracking (last successful embedding run, count of un-embedded docs) - light DB scope.</t>
  </si>
  <si>
    <t xml:space="preserve">G1</t>
  </si>
  <si>
    <t xml:space="preserve">Homepage / Landing Page</t>
  </si>
  <si>
    <t xml:space="preserve">YES — Static marketing/intro page (hero, value prop, “Ask SAATHI” CTA into D1); no dynamic data.</t>
  </si>
  <si>
    <t xml:space="preserve">NO — Static content, served via normal page routing.</t>
  </si>
  <si>
    <t xml:space="preserve">NO — No AI involved.</t>
  </si>
  <si>
    <t xml:space="preserve">NO — No schema needed.</t>
  </si>
  <si>
    <t xml:space="preserve">G2</t>
  </si>
  <si>
    <t xml:space="preserve">About Us Page</t>
  </si>
  <si>
    <t xml:space="preserve">YES — Static content page covering BIS/ministry background and SAATHI's purpose.</t>
  </si>
  <si>
    <t xml:space="preserve">NO — Static content.</t>
  </si>
  <si>
    <t xml:space="preserve">NO</t>
  </si>
  <si>
    <t xml:space="preserve">G3</t>
  </si>
  <si>
    <t xml:space="preserve">Testimonials / Reviews Page</t>
  </si>
  <si>
    <t xml:space="preserve">YES — Card/list layout for MSME quotes, ideally sourced post-launch.</t>
  </si>
  <si>
    <t xml:space="preserve">YES — Light CRUD if admin-curated via a D5-style panel; otherwise static.</t>
  </si>
  <si>
    <t xml:space="preserve">YES — Small testimonials table (name, org, quote, approved flag) if admin-editable.</t>
  </si>
  <si>
    <t xml:space="preserve">G4</t>
  </si>
  <si>
    <t xml:space="preserve">Password Reset / Recovery Page</t>
  </si>
  <si>
    <t xml:space="preserve">YES — Reset-request form + new-password form.</t>
  </si>
  <si>
    <t xml:space="preserve">YES — Token generation/expiry, dispatch via G5's email engine, updates P1's credentials table.</t>
  </si>
  <si>
    <t xml:space="preserve">YES — Reset-token table (token hash, user_id, expires_at).</t>
  </si>
  <si>
    <t xml:space="preserve">G5</t>
  </si>
  <si>
    <t xml:space="preserve">Transactional Email Engine</t>
  </si>
  <si>
    <t xml:space="preserve">NO — No dedicated UI; triggered by other flows.</t>
  </si>
  <si>
    <t xml:space="preserve">YES — Dispatch service for escalation-ticket confirmations, password resets, admin ingestion-failure alerts; queued via the same BullMQ pattern as M1.</t>
  </si>
  <si>
    <t xml:space="preserve">YES — Email/notification delivery log.</t>
  </si>
  <si>
    <t xml:space="preserve">G6</t>
  </si>
  <si>
    <t xml:space="preserve">In-App Notification Center</t>
  </si>
  <si>
    <t xml:space="preserve">YES — Bell-icon dropdown with unread-count badge.</t>
  </si>
  <si>
    <t xml:space="preserve">YES — Notification creation on events (X3 ticket updates, M9 session activity); read/unread endpoints.</t>
  </si>
  <si>
    <t xml:space="preserve">YES — Notifications table (user_id, type, message, read_at).</t>
  </si>
  <si>
    <t xml:space="preserve">G7</t>
  </si>
  <si>
    <t xml:space="preserve">Terms of Service</t>
  </si>
  <si>
    <t xml:space="preserve">YES — Static legal page.</t>
  </si>
  <si>
    <t xml:space="preserve">NO — Static content; acceptance timestamp only if gating signup.</t>
  </si>
  <si>
    <t xml:space="preserve">NO — unless per-user acceptance tracking is required.</t>
  </si>
  <si>
    <t xml:space="preserve">Person 3 (content) / Person 2 (page)</t>
  </si>
  <si>
    <t xml:space="preserve">G8</t>
  </si>
  <si>
    <t xml:space="preserve">Cookie Consent Banner</t>
  </si>
  <si>
    <t xml:space="preserve">YES — Banner + preference toggle gating non-essential cookies/analytics.</t>
  </si>
  <si>
    <t xml:space="preserve">NO — Preference typically stored client-side.</t>
  </si>
  <si>
    <t xml:space="preserve">NO — optional consent-log table only if an audit trail is required.</t>
  </si>
  <si>
    <t xml:space="preserve">G9</t>
  </si>
  <si>
    <t xml:space="preserve">SSL/TLS Certificate</t>
  </si>
  <si>
    <t xml:space="preserve">NO — Infra-level (reverse proxy/load balancer termination), not application code.</t>
  </si>
  <si>
    <t xml:space="preserve">Person 6 (DevOps)</t>
  </si>
  <si>
    <t xml:space="preserve">G10</t>
  </si>
  <si>
    <t xml:space="preserve">CAPTCHA Integration</t>
  </si>
  <si>
    <t xml:space="preserve">YES — Challenge widget on public chat entry / contact form / WhatsApp opt-in.</t>
  </si>
  <si>
    <t xml:space="preserve">YES — Server-side verification call layered in front of P1's rate limiting.</t>
  </si>
  <si>
    <t xml:space="preserve">G11</t>
  </si>
  <si>
    <t xml:space="preserve">Two-Factor Authentication (2FA)</t>
  </si>
  <si>
    <t xml:space="preserve">YES — OTP entry step in the admin login flow.</t>
  </si>
  <si>
    <t xml:space="preserve">YES — TOTP/SMS OTP generation and verification, extends P1's credential check.</t>
  </si>
  <si>
    <t xml:space="preserve">YES — 2FA secret/backup-codes field on the admin credentials table.</t>
  </si>
  <si>
    <t xml:space="preserve">G12</t>
  </si>
  <si>
    <t xml:space="preserve">Firewall / DDoS Protection</t>
  </si>
  <si>
    <t xml:space="preserve">NO — Infra/network layer (e.g. Cloudflare, cloud WAF), not application code.</t>
  </si>
  <si>
    <t xml:space="preserve">G13</t>
  </si>
  <si>
    <t xml:space="preserve">XML Sitemap</t>
  </si>
  <si>
    <t xml:space="preserve">YES — Auto-generated endpoint listing public pages/standards for crawlers, regenerated on content change.</t>
  </si>
  <si>
    <t xml:space="preserve">NO — Reads existing D2 standards metadata; no new table.</t>
  </si>
  <si>
    <t xml:space="preserve">G14</t>
  </si>
  <si>
    <t xml:space="preserve">Robots.txt File</t>
  </si>
  <si>
    <t xml:space="preserve">NO — Static file at the web root defining crawl rules for SAATHI's own site (distinct from M1's reading of BIS's robots.txt).</t>
  </si>
  <si>
    <t xml:space="preserve">G15</t>
  </si>
  <si>
    <t xml:space="preserve">404 Error Page</t>
  </si>
  <si>
    <t xml:space="preserve">YES — Branded fallback page with a link back to D1/D2.</t>
  </si>
  <si>
    <t xml:space="preserve">NO — Standard routing fallback.</t>
  </si>
  <si>
    <t xml:space="preserve">G16</t>
  </si>
  <si>
    <t xml:space="preserve">Schema Markup</t>
  </si>
  <si>
    <t xml:space="preserve">YES — JSON-LD structured data embedded on D2/D3 pages (FAQ/Article/Organization schema).</t>
  </si>
  <si>
    <t xml:space="preserve">NO — Generated at render time from existing metadata.</t>
  </si>
  <si>
    <t xml:space="preserve">G17</t>
  </si>
  <si>
    <t xml:space="preserve">CERT-In Empanelled Security Audit</t>
  </si>
  <si>
    <t xml:space="preserve">NO — External third-party audit process, not code the team writes.</t>
  </si>
  <si>
    <t xml:space="preserve">Person 6 (post-hackathon)</t>
  </si>
  <si>
    <t xml:space="preserve">G18</t>
  </si>
  <si>
    <t xml:space="preserve">.gov.in / NIC Hosting</t>
  </si>
  <si>
    <t xml:space="preserve">NO — Deployment/infra decision for the ministry-coordinated development phase, not the hackathon build.</t>
  </si>
  <si>
    <t xml:space="preserve">Category</t>
  </si>
  <si>
    <t xml:space="preserve">Features</t>
  </si>
  <si>
    <t xml:space="preserve">Frontend (Yes)</t>
  </si>
  <si>
    <t xml:space="preserve">Backend (Yes)</t>
  </si>
  <si>
    <t xml:space="preserve">AI/ML (Yes)</t>
  </si>
  <si>
    <t xml:space="preserve">Data &amp; Storage (Yes)</t>
  </si>
  <si>
    <t xml:space="preserve">M - Mandatory Core</t>
  </si>
  <si>
    <t xml:space="preserve">D - Dashboard/UI</t>
  </si>
  <si>
    <t xml:space="preserve">X - Extraordinary/Differentiating</t>
  </si>
  <si>
    <t xml:space="preserve">P - Supporting/Platform</t>
  </si>
  <si>
    <t xml:space="preserve">G - Website Essentials (Added)</t>
  </si>
  <si>
    <t xml:space="preserve">Total</t>
  </si>
  <si>
    <t xml:space="preserve">Feature ID Prefixes (official catalog, Part 1)</t>
  </si>
  <si>
    <t xml:space="preserve">M# (9)</t>
  </si>
  <si>
    <t xml:space="preserve">Mandatory Core - the retrieval-and-answer engine itself.</t>
  </si>
  <si>
    <t xml:space="preserve">D# (10)</t>
  </si>
  <si>
    <t xml:space="preserve">Dashboard / UI features.</t>
  </si>
  <si>
    <t xml:space="preserve">X# (12)</t>
  </si>
  <si>
    <t xml:space="preserve">Extraordinary / Differentiating features - "this is what wins the room."</t>
  </si>
  <si>
    <t xml:space="preserve">P# (4)</t>
  </si>
  <si>
    <t xml:space="preserve">Supporting / Platform features.</t>
  </si>
  <si>
    <t xml:space="preserve">How to read the matrix</t>
  </si>
  <si>
    <t xml:space="preserve">YES (green)</t>
  </si>
  <si>
    <t xml:space="preserve">That layer needs dedicated work for this feature; the note explains what.</t>
  </si>
  <si>
    <t xml:space="preserve">NO (grey)</t>
  </si>
  <si>
    <t xml:space="preserve">That layer needs no new work - either out of scope, or the feature only consumes something another feature already owns (the note says which).</t>
  </si>
  <si>
    <t xml:space="preserve">ID cell color</t>
  </si>
  <si>
    <t xml:space="preserve">Matches the M/D/X/P category color used in the Summary by Category sheet.</t>
  </si>
  <si>
    <t xml:space="preserve">Scope risks that change what "in depth" actually means</t>
  </si>
  <si>
    <t xml:space="preserve">X1 - clause licensing</t>
  </si>
  <si>
    <t xml:space="preserve">Full clause-text of IS standards may not be legally scrapeable. Decision gate at Foundation phase: confirm what's actually usable before committing to full clause-level citation; fallback is standard number + title + scope + section heading.</t>
  </si>
  <si>
    <t xml:space="preserve">X2 - demo-critical</t>
  </si>
  <si>
    <t xml:space="preserve">Treated as mandatory-adjacent, not a stretch feature. A hallucinated answer live is the single worst failure mode for this problem statement. Needs a golden Q&amp;A set (30-50 questions) and two tracked numbers: groundedness rate and decline rate.</t>
  </si>
  <si>
    <t xml:space="preserve">X6 - WhatsApp ToS</t>
  </si>
  <si>
    <t xml:space="preserve">Meta's WhatsApp Business terms (effective 15 Jan 2026) bar general-purpose AI assistants as the primary functionality of a presence. Scope X6 to structured, named intents with an explicit helpdesk handoff for open-ended queries - this is a build decision, not something already true by default.</t>
  </si>
  <si>
    <t xml:space="preserve">P2 - retention number</t>
  </si>
  <si>
    <t xml:space="preserve">A judge is likely to raise data-privacy for business details typed into chat. P2 needs a concrete, stated retention number before the pitch, not an abstract policy line.</t>
  </si>
  <si>
    <t xml:space="preserve">P3 - cost guardrails</t>
  </si>
  <si>
    <t xml:space="preserve">Build budget alerts from day one, not as a later feature - LLM API cost/rate-limit exposure is a named risk.</t>
  </si>
  <si>
    <t xml:space="preserve">M1/M3 - corpus scope</t>
  </si>
  <si>
    <t xml:space="preserve">MVP target is explicit: all FAQs and circulars, plus 3-5 product categories (electronics and food processing are the most citizen-legible starting points) - not the full ~24,000-standard catalogue. Load-test pgvector with concurrent sessions before the demo.</t>
  </si>
  <si>
    <t xml:space="preserve">Cross-cutting infrastructure (not tied to one feature)</t>
  </si>
  <si>
    <t xml:space="preserve">Data layer</t>
  </si>
  <si>
    <t xml:space="preserve">Relational schema for docs/chunks/conversations/users, migrations, and ORM setup are called out as "whole backend" in the spec, not owned by a single feature row above.</t>
  </si>
  <si>
    <t xml:space="preserve">DevOps</t>
  </si>
  <si>
    <t xml:space="preserve">Docker + Docker Compose for dev and the primary demo path; a single-node k3s manifest kept ready as a "here's how this scales" artifact for judges, without running the live demo on it; CI/CD via GitHub Actions.</t>
  </si>
  <si>
    <t xml:space="preserve">Security</t>
  </si>
  <si>
    <t xml:space="preserve">Prompt injection defense (treat retrieved chunks and user input as data, never instructions) sits inside M5. No full penetration test needed for a hackathon build - one Cross-Cutting paragraph plus a stated P2 retention number is enough to survive a judge's security question.</t>
  </si>
  <si>
    <t xml:space="preserve">Monitoring</t>
  </si>
  <si>
    <t xml:space="preserve">Basic structured logging + the P3 cost dashboard is enough for a hackathon MVP; skip a full Prometheus/Grafana buildout unless time allows.</t>
  </si>
  <si>
    <t xml:space="preserve">Build order (dependency-driven, from Part 5 + addendum gates)</t>
  </si>
  <si>
    <t xml:space="preserve">Gate 1 - Foundation</t>
  </si>
  <si>
    <t xml:space="preserve">DB schema (incl. pgvector), auth, API skeleton, one ingestion source working end-to-end (start with FAQs/circulars), minimal chat UI hitting a stubbed answer. If not true, nothing downstream should start.</t>
  </si>
  <si>
    <t xml:space="preserve">Gate 2 - Core RAG loop</t>
  </si>
  <si>
    <t xml:space="preserve">M1-M2 (ingestion/chunking/embedding), M3 (retrieval), M4 (query understanding), M5-M6 (grounded generation with citations), M8 (confidence fallback), basic chat UI (D1, D3). If grounding quality is poor here, stop adding features and fix retrieval first.</t>
  </si>
  <si>
    <t xml:space="preserve">Gate 3 - Product-matching &amp; session depth</t>
  </si>
  <si>
    <t xml:space="preserve">M7 (product-to-standard), M9 (multi-turn sessions), D2 (browser), D4 (history), D5 (admin panel).</t>
  </si>
  <si>
    <t xml:space="preserve">Gate 4 - Differentiators</t>
  </si>
  <si>
    <t xml:space="preserve">Realistically pick 4-6 of the 12. Recommended set: X2 (cite-or-decline), X11 (plain-language explainer), X5 (checklist generator), X1 (deep linking, scoped to what's licensable), X8 (gap analytics), X6 (WhatsApp channel). All seven rehearsed demo queries should work live; backup video recorded.</t>
  </si>
  <si>
    <t xml:space="preserve">Gate 5 - Polish</t>
  </si>
  <si>
    <t xml:space="preserve">Remaining dashboard features (D6, D7, D9, D10), multi-language (D8), voice (X7), offline PWA (X9), ops status page (P4). Can slip without threatening the demo.</t>
  </si>
  <si>
    <t xml:space="preserve">Tech stack reference (Part 3)</t>
  </si>
  <si>
    <t xml:space="preserve">Frontend</t>
  </si>
  <si>
    <t xml:space="preserve">React 18 + TypeScript, Vite, TailwindCSS + shadcn/ui, Zustand (state), TanStack Query, react-i18next (English/Hindi), SSE client.</t>
  </si>
  <si>
    <t xml:space="preserve">Backend / orchestration</t>
  </si>
  <si>
    <t xml:space="preserve">Node.js + NestJS (TypeScript) - auth, sessions, conversation history, admin CRUD, rate limiting, WhatsApp webhook.</t>
  </si>
  <si>
    <t xml:space="preserve">AI / RAG microservice</t>
  </si>
  <si>
    <t xml:space="preserve">Python (FastAPI), kept deliberately thin - LangChain or LlamaIndex for ingestion/chunking/retrieval rather than hand-rolled logic. NestJS calls it over a simple internal REST API.</t>
  </si>
  <si>
    <t xml:space="preserve">Vector storage</t>
  </si>
  <si>
    <t xml:space="preserve">pgvector (Postgres extension) rather than a separate vector DB; move to Qdrant only if pgvector's performance becomes a real bottleneck in testing.</t>
  </si>
  <si>
    <t xml:space="preserve">Queue / cache</t>
  </si>
  <si>
    <t xml:space="preserve">Redis (BullMQ on the Node side) for ingestion jobs and semantic-answer caching.</t>
  </si>
  <si>
    <t xml:space="preserve">Auth</t>
  </si>
  <si>
    <t xml:space="preserve">JWT for the API, simple session cookies for the public chat - no full SSO/Keycloak needed.</t>
  </si>
  <si>
    <t xml:space="preserve">Messaging channel</t>
  </si>
  <si>
    <t xml:space="preserve">WhatsApp Business API (Cloud API) for X6.</t>
  </si>
  <si>
    <t xml:space="preserve">Source</t>
  </si>
  <si>
    <t xml:space="preserve">Derived from</t>
  </si>
  <si>
    <t xml:space="preserve">SAATHI - Master Build Specification &amp; Internal Pitch (Parts 0-5) plus its addendum (Sections A-O), including the 27 Aug 2026 post-pitch fact-check (Section O). Verify the BMSCE-specific internal submission deadline and the WhatsApp/competing-tool findings independently before the pitch, per the source document's own caveats.</t>
  </si>
  <si>
    <t xml:space="preserve">G-series additions (G1–G18) — not part of the official SIH26107 catalog</t>
  </si>
  <si>
    <t xml:space="preserve">What this is</t>
  </si>
  <si>
    <t xml:space="preserve">18 generic website-essentials items flagged as “Not Covered” on the Website Essentials Checklist sheet, now added to the Feature Matrix as G1–G18 with the same Frontend/Backend/AI-ML/Data&amp;Storage breakdown and an assigned Owner.</t>
  </si>
  <si>
    <t xml:space="preserve">Important for the pitch</t>
  </si>
  <si>
    <t xml:space="preserve">G1–G18 are standard web-hygiene/compliance items (login recovery, ToS, CAPTCHA, sitemap, etc.), not part of Part 1's official 35-feature catalog (M/D/X/P) from the SIH26107 spec. Present the official 35 as the feature catalog to judges; treat G1–G18 as build-hygiene work the team should still do, not as differentiators.</t>
  </si>
  <si>
    <t xml:space="preserve">Owner column (Feature Matrix)</t>
  </si>
  <si>
    <t xml:space="preserve">Existing M/D/X/P rows use the exact Part 4 work split from the source spec. G1–G18 owners are a reasonable suggested assignment based on the closest-matching person's existing scope — not from the original document — and are worth a quick team sanity-check.</t>
  </si>
  <si>
    <t xml:space="preserve">G17 / G18</t>
  </si>
  <si>
    <t xml:space="preserve">CERT-In audit and .gov.in/NIC hosting are realistically post-hackathon, ministry-development-phase items (Addendum Section O.3), not hackathon-week deliverables — flagged for awareness, not urgency.</t>
  </si>
  <si>
    <t xml:space="preserve">#</t>
  </si>
  <si>
    <t xml:space="preserve">Website Element</t>
  </si>
  <si>
    <t xml:space="preserve">Description</t>
  </si>
  <si>
    <t xml:space="preserve">Status</t>
  </si>
  <si>
    <t xml:space="preserve">Mapped SAATHI Feature(s)</t>
  </si>
  <si>
    <t xml:space="preserve">Recommendation / Notes</t>
  </si>
  <si>
    <t xml:space="preserve">Core User-Facing Pages</t>
  </si>
  <si>
    <t xml:space="preserve">Homepage</t>
  </si>
  <si>
    <t xml:space="preserve">Landing page introducing SAATHI and its purpose before entering the chat.</t>
  </si>
  <si>
    <t xml:space="preserve">Planned</t>
  </si>
  <si>
    <t xml:space="preserve">Added to the Feature Matrix as G1, owned per the Owner column there. Add a simple landing page (what SAATHI is, who it's for, CTA into D1) sitting in front of the chat interface.</t>
  </si>
  <si>
    <t xml:space="preserve">Explains SAATHI, BIS, and the ministry backing — builds trust for a govt tool.</t>
  </si>
  <si>
    <t xml:space="preserve">Added to the Feature Matrix as G2, owned per the Owner column there. Add. Directly supports the 'ministry-trust' framing the pitch (Part 0) leans on.</t>
  </si>
  <si>
    <t xml:space="preserve">Contact Us Page</t>
  </si>
  <si>
    <t xml:space="preserve">Standalone way to reach BIS outside the chat (phone/email/address).</t>
  </si>
  <si>
    <t xml:space="preserve">Partial</t>
  </si>
  <si>
    <t xml:space="preserve">X3 escalates low-confidence queries to the helpdesk from inside chat, but a static contact page is still needed for users who never open the chat.</t>
  </si>
  <si>
    <t xml:space="preserve">Services/Products Directory</t>
  </si>
  <si>
    <t xml:space="preserve">Catalog overview of what the site offers.</t>
  </si>
  <si>
    <t xml:space="preserve">D2's Standards Browser is the closest equivalent; consider an explicit 'what SAATHI can help with' overview above it.</t>
  </si>
  <si>
    <t xml:space="preserve">Individual Detailing Page</t>
  </si>
  <si>
    <t xml:space="preserve">Deep-dive page for a single standard/service.</t>
  </si>
  <si>
    <t xml:space="preserve">Covered</t>
  </si>
  <si>
    <t xml:space="preserve">D3 (Source/Citation Viewer) already serves this role.</t>
  </si>
  <si>
    <t xml:space="preserve">Pricing / Plans Page</t>
  </si>
  <si>
    <t xml:space="preserve">Cost-tier comparison.</t>
  </si>
  <si>
    <t xml:space="preserve">N/A</t>
  </si>
  <si>
    <t xml:space="preserve">—</t>
  </si>
  <si>
    <t xml:space="preserve">Free government service — not applicable.</t>
  </si>
  <si>
    <t xml:space="preserve">Customer success stories / social proof.</t>
  </si>
  <si>
    <t xml:space="preserve">Added to the Feature Matrix as G3, owned per the Owner column there. Optional. Low priority for a government utility, but a few MSME quotes post-launch could help adoption.</t>
  </si>
  <si>
    <t xml:space="preserve">FAQ Page</t>
  </si>
  <si>
    <t xml:space="preserve">Static, browsable answers to common questions.</t>
  </si>
  <si>
    <t xml:space="preserve">M1 ingests BIS's own FAQs as chat content, but there's no static FAQ page about SAATHI itself (how it works, what it can't do, data privacy).</t>
  </si>
  <si>
    <t xml:space="preserve">Blog / Resource Hub</t>
  </si>
  <si>
    <t xml:space="preserve">Article listing for content marketing / SEO.</t>
  </si>
  <si>
    <t xml:space="preserve">Out of scope for a hackathon MVP.</t>
  </si>
  <si>
    <t xml:space="preserve">Individual Blog Post Page</t>
  </si>
  <si>
    <t xml:space="preserve">Single article layout.</t>
  </si>
  <si>
    <t xml:space="preserve">Out of scope.</t>
  </si>
  <si>
    <t xml:space="preserve">Portfolio / Case Studies</t>
  </si>
  <si>
    <t xml:space="preserve">Gallery of past work.</t>
  </si>
  <si>
    <t xml:space="preserve">Not applicable — SAATHI has no 'past projects' to showcase.</t>
  </si>
  <si>
    <t xml:space="preserve">Careers / Jobs Page</t>
  </si>
  <si>
    <t xml:space="preserve">Open positions + application form.</t>
  </si>
  <si>
    <t xml:space="preserve">Not applicable.</t>
  </si>
  <si>
    <t xml:space="preserve">Portals, Dashboards &amp; User Management</t>
  </si>
  <si>
    <t xml:space="preserve">Login Page</t>
  </si>
  <si>
    <t xml:space="preserve">Secure entry portal.</t>
  </si>
  <si>
    <t xml:space="preserve">JWT + session-cookie auth already specified.</t>
  </si>
  <si>
    <t xml:space="preserve">Registration / Signup Page</t>
  </si>
  <si>
    <t xml:space="preserve">New-user onboarding with validation.</t>
  </si>
  <si>
    <t xml:space="preserve">P1 explicitly keeps public access light (no full signup wall); only admin/industry roles likely need real registration — confirm this is intentional, not an oversight.</t>
  </si>
  <si>
    <t xml:space="preserve">Self-service credential reset flow.</t>
  </si>
  <si>
    <t xml:space="preserve">Added to the Feature Matrix as G4, owned per the Owner column there. Gap. P1 covers password hashing but not a reset/recovery flow — needed at minimum for admin accounts.</t>
  </si>
  <si>
    <t xml:space="preserve">User Dashboard</t>
  </si>
  <si>
    <t xml:space="preserve">Logged-in workspace showing activity.</t>
  </si>
  <si>
    <t xml:space="preserve">D4, D10</t>
  </si>
  <si>
    <t xml:space="preserve">Conversation history (D4) + role-based Industry view (D10).</t>
  </si>
  <si>
    <t xml:space="preserve">User Profile Settings</t>
  </si>
  <si>
    <t xml:space="preserve">Change avatar/email/password/preferences.</t>
  </si>
  <si>
    <t xml:space="preserve">D8 only stores a language preference on the profile; no general settings page (email, password change) is specified.</t>
  </si>
  <si>
    <t xml:space="preserve">Admin Dashboard</t>
  </si>
  <si>
    <t xml:space="preserve">Backend command center for staff.</t>
  </si>
  <si>
    <t xml:space="preserve">D5, D6, P4</t>
  </si>
  <si>
    <t xml:space="preserve">Document management (D5), analytics (D6), ops/health (P4).</t>
  </si>
  <si>
    <t xml:space="preserve">Content Management System (CMS)</t>
  </si>
  <si>
    <t xml:space="preserve">Draft, edit, publish content.</t>
  </si>
  <si>
    <t xml:space="preserve">Upload/update/retire source documents, trigger re-ingestion.</t>
  </si>
  <si>
    <t xml:space="preserve">User Role Management</t>
  </si>
  <si>
    <t xml:space="preserve">Assign roles (Admin/Editor/Guest, etc.).</t>
  </si>
  <si>
    <t xml:space="preserve">D10, P1</t>
  </si>
  <si>
    <t xml:space="preserve">Role-based views + RBAC middleware.</t>
  </si>
  <si>
    <t xml:space="preserve">Activity Log / Audit Trail</t>
  </si>
  <si>
    <t xml:space="preserve">Ledger of admin/user system changes.</t>
  </si>
  <si>
    <t xml:space="preserve">D5, P2</t>
  </si>
  <si>
    <t xml:space="preserve">Audit logging of admin document changes; audit-log schema.</t>
  </si>
  <si>
    <t xml:space="preserve">Communication, Marketing &amp; Engagement</t>
  </si>
  <si>
    <t xml:space="preserve">Automated receipts, welcome emails, alerts.</t>
  </si>
  <si>
    <t xml:space="preserve">Added to the Feature Matrix as G5, owned per the Owner column there. Gap. No email-notification feature is specified anywhere in the 35-feature catalog — e.g. escalation-ticket confirmation, admin alerts on ingestion failure.</t>
  </si>
  <si>
    <t xml:space="preserve">Newsletter Signup Form</t>
  </si>
  <si>
    <t xml:space="preserve">Email capture for marketing.</t>
  </si>
  <si>
    <t xml:space="preserve">Not relevant to a citizen-service tool.</t>
  </si>
  <si>
    <t xml:space="preserve">Internal Search System</t>
  </si>
  <si>
    <t xml:space="preserve">Search bar with auto-suggestions.</t>
  </si>
  <si>
    <t xml:space="preserve">Debounced search/autocomplete, virtualized results.</t>
  </si>
  <si>
    <t xml:space="preserve">Live Chat / Chatbot Widget</t>
  </si>
  <si>
    <t xml:space="preserve">Real-time support interface.</t>
  </si>
  <si>
    <t xml:space="preserve">This *is* the core product.</t>
  </si>
  <si>
    <t xml:space="preserve">Bell-icon alerts for updates/messages.</t>
  </si>
  <si>
    <t xml:space="preserve">Added to the Feature Matrix as G6, owned per the Owner column there. Gap. E.g. notifying a user when their escalated ticket (X3) gets a helpdesk response.</t>
  </si>
  <si>
    <t xml:space="preserve">Contact Form Handler</t>
  </si>
  <si>
    <t xml:space="preserve">Backend routing queries to company email.</t>
  </si>
  <si>
    <t xml:space="preserve">X3 routes low-confidence chat queries to a helpdesk ticket, but a generic 'contact us' form submission isn't separately handled.</t>
  </si>
  <si>
    <t xml:space="preserve">Social Media Integration</t>
  </si>
  <si>
    <t xml:space="preserve">Share buttons / account feed widgets.</t>
  </si>
  <si>
    <t xml:space="preserve">Optional, low priority.</t>
  </si>
  <si>
    <t xml:space="preserve">Comment / Feedback Section</t>
  </si>
  <si>
    <t xml:space="preserve">Moderated feedback area.</t>
  </si>
  <si>
    <t xml:space="preserve">Thumbs up/down + free-text feedback, feeding a review queue.</t>
  </si>
  <si>
    <t xml:space="preserve">Regulations, Legal &amp; Compliance</t>
  </si>
  <si>
    <t xml:space="preserve">Privacy Policy</t>
  </si>
  <si>
    <t xml:space="preserve">Discloses data collection and usage.</t>
  </si>
  <si>
    <t xml:space="preserve">P2 defines internal retention controls, but there's no public-facing Privacy Policy page — and the risk register (Section B) already flags that a judge is likely to ask about this directly.</t>
  </si>
  <si>
    <t xml:space="preserve">Rules for using the site.</t>
  </si>
  <si>
    <t xml:space="preserve">Added to the Feature Matrix as G7, owned per the Owner column there. Gap. Add before any real deployment.</t>
  </si>
  <si>
    <t xml:space="preserve">Lets users manage tracking preferences.</t>
  </si>
  <si>
    <t xml:space="preserve">Added to the Feature Matrix as G8, owned per the Owner column there. Gap. P1 uses session cookies for the public chat, which triggers a consent requirement in most jurisdictions.</t>
  </si>
  <si>
    <t xml:space="preserve">Accessibility Statement</t>
  </si>
  <si>
    <t xml:space="preserve">Documents ADA/WCAG compliance steps.</t>
  </si>
  <si>
    <t xml:space="preserve">cross-cutting</t>
  </si>
  <si>
    <t xml:space="preserve">Screen-reader/contrast standards are listed as a cross-cutting frontend requirement, but there's no formal statement page declaring compliance — relevant to GIGW too, see bonus category below.</t>
  </si>
  <si>
    <t xml:space="preserve">Refund / Cancellation Policy</t>
  </si>
  <si>
    <t xml:space="preserve">Terms for financial transactions.</t>
  </si>
  <si>
    <t xml:space="preserve">No payments in this system — not applicable.</t>
  </si>
  <si>
    <t xml:space="preserve">Disclaimer Page</t>
  </si>
  <si>
    <t xml:space="preserve">Limits liability (e.g. not legal advice).</t>
  </si>
  <si>
    <t xml:space="preserve">M8, X3</t>
  </si>
  <si>
    <t xml:space="preserve">The 'informational guidance, not legal advice' framing exists as a rehearsed demo answer (Addendum, Section M) but isn't a standing, always-visible Disclaimer page.</t>
  </si>
  <si>
    <t xml:space="preserve">Security &amp; Data Protection</t>
  </si>
  <si>
    <t xml:space="preserve">HTTPS encryption for data in transit.</t>
  </si>
  <si>
    <t xml:space="preserve">Added to the Feature Matrix as G9, owned per the Owner column there. Assumed but never stated as an explicit line item — add to the DevOps/infra checklist so it isn't silently skipped.</t>
  </si>
  <si>
    <t xml:space="preserve">Anti-spam challenge on forms.</t>
  </si>
  <si>
    <t xml:space="preserve">Added to the Feature Matrix as G10, owned per the Owner column there. Gap. P1 has rate-limiting but no bot/CAPTCHA challenge — relevant for the public chat and especially the WhatsApp channel (X6) against abuse.</t>
  </si>
  <si>
    <t xml:space="preserve">Extra login verification layer.</t>
  </si>
  <si>
    <t xml:space="preserve">Added to the Feature Matrix as G11, owned per the Owner column there. Gap. Admin accounts can retire/replace official source documents (D5) — sensitive enough to justify 2FA beyond password-only auth.</t>
  </si>
  <si>
    <t xml:space="preserve">Network-layer traffic filtering.</t>
  </si>
  <si>
    <t xml:space="preserve">Added to the Feature Matrix as G12, owned per the Owner column there. Gap. P1's rate-limiting is application-level only; no network-layer protection is specified.</t>
  </si>
  <si>
    <t xml:space="preserve">Database Encryption</t>
  </si>
  <si>
    <t xml:space="preserve">Encrypts sensitive data at rest.</t>
  </si>
  <si>
    <t xml:space="preserve">P2 sets a retention policy but doesn't explicitly require encryption-at-rest for chat logs, which the threat model (Addendum, Section I) notes may contain business names and product details.</t>
  </si>
  <si>
    <t xml:space="preserve">Infrastructure, SEO &amp; Optimization</t>
  </si>
  <si>
    <t xml:space="preserve">Map for search-engine indexing.</t>
  </si>
  <si>
    <t xml:space="preserve">Added to the Feature Matrix as G13, owned per the Owner column there. Gap. Needed so D2's standards pages are discoverable via search engines.</t>
  </si>
  <si>
    <t xml:space="preserve">Tells bots what to crawl on *your* site.</t>
  </si>
  <si>
    <t xml:space="preserve">Added to the Feature Matrix as G14, owned per the Owner column there. Gap. M1 only discusses reading BIS's robots.txt before crawling BIS — SAATHI's own robots.txt for its own site isn't addressed.</t>
  </si>
  <si>
    <t xml:space="preserve">Branded fallback for broken links.</t>
  </si>
  <si>
    <t xml:space="preserve">Added to the Feature Matrix as G15, owned per the Owner column there. Gap. Small but easy to miss and noticeable to judges browsing the deployed demo.</t>
  </si>
  <si>
    <t xml:space="preserve">Automated Backup System</t>
  </si>
  <si>
    <t xml:space="preserve">Scheduled copies of files/DB.</t>
  </si>
  <si>
    <t xml:space="preserve">X4, M2</t>
  </si>
  <si>
    <t xml:space="preserve">X4/M2 cover vector-index disaster recovery (rebuild-from-source), but routine backups of the relational DB (conversations, users, feedback) aren't separately specified.</t>
  </si>
  <si>
    <t xml:space="preserve">Analytics &amp; Tracking Pixels</t>
  </si>
  <si>
    <t xml:space="preserve">Tracks visitor traffic and conversions.</t>
  </si>
  <si>
    <t xml:space="preserve">D6, X8</t>
  </si>
  <si>
    <t xml:space="preserve">D6/X8 track internal query analytics (topics, gaps) for BIS's benefit — that's a different purpose from general web-traffic analytics (page views, sessions), which isn't covered.</t>
  </si>
  <si>
    <t xml:space="preserve">Performance Caching System</t>
  </si>
  <si>
    <t xml:space="preserve">Pre-loaded pages for faster speeds.</t>
  </si>
  <si>
    <t xml:space="preserve">M3, M5, P3</t>
  </si>
  <si>
    <t xml:space="preserve">Redis caching layer for repeated/near-duplicate queries.</t>
  </si>
  <si>
    <t xml:space="preserve">Structured data for search engines.</t>
  </si>
  <si>
    <t xml:space="preserve">Added to the Feature Matrix as G16, owned per the Owner column there. Gap, low priority — would help standards pages surface in Google search results.</t>
  </si>
  <si>
    <t xml:space="preserve">Media Optimization Engine</t>
  </si>
  <si>
    <t xml:space="preserve">Compresses uploaded images/video.</t>
  </si>
  <si>
    <t xml:space="preserve">Minimal media in this product — low priority.</t>
  </si>
  <si>
    <t xml:space="preserve">Database Management System</t>
  </si>
  <si>
    <t xml:space="preserve">Infrastructure for data reads/writes.</t>
  </si>
  <si>
    <t xml:space="preserve">whole backend</t>
  </si>
  <si>
    <t xml:space="preserve">Relational schema + pgvector, already called out as 'whole backend' in the Legend &amp; Notes sheet.</t>
  </si>
  <si>
    <t xml:space="preserve">India Government Web Standards (bonus — not in original list)</t>
  </si>
  <si>
    <t xml:space="preserve">GIGW 3.0 Compliance</t>
  </si>
  <si>
    <t xml:space="preserve">Govt of India Guidelines for Websites — accessibility, bilingual content, content-ownership rules.</t>
  </si>
  <si>
    <t xml:space="preserve">D8's Hindi/English toggle is a start, but full GIGW sign-off (accessibility audit, content governance) is a separate step before any real deployment on a ministry domain.</t>
  </si>
  <si>
    <t xml:space="preserve">Mandatory security audit certificate for govt-facing apps before public rollout.</t>
  </si>
  <si>
    <t xml:space="preserve">Added to the Feature Matrix as G17, owned per the Owner column there. Not needed for the hackathon demo, but flag it now — it's a real gate in the addendum's post-win 6–12 month ministry development phase (Section O.3).</t>
  </si>
  <si>
    <t xml:space="preserve">DPDP Act 2023 — Consent &amp; Grievance Officer</t>
  </si>
  <si>
    <t xml:space="preserve">Digital Personal Data Protection Act requires an explicit consent notice and a named grievance officer.</t>
  </si>
  <si>
    <t xml:space="preserve">P2's retention policy is a good start but stops short of a DPDP-compliant consent notice and a named grievance-officer contact.</t>
  </si>
  <si>
    <t xml:space="preserve">Official domain and hosting requirements for ministry-backed sites.</t>
  </si>
  <si>
    <t xml:space="preserve">Added to the Feature Matrix as G18, owned per the Owner column there. Only relevant once SAATHI moves past the hackathon demo into the ministry-coordinated development phase — not a build-week concern.</t>
  </si>
  <si>
    <t xml:space="preserve">Coverage Summary</t>
  </si>
  <si>
    <t xml:space="preserve">Count</t>
  </si>
  <si>
    <t xml:space="preserve">Planned (newly added, G1-G18)</t>
  </si>
  <si>
    <t xml:space="preserve">Not Covered</t>
  </si>
  <si>
    <t xml:space="preserve">N/A (Not Needed)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</si>
</sst>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7F7F7F"/>
      <name val="Calibri"/>
      <family val="0"/>
      <charset val="1"/>
    </font>
    <font>
      <sz val="10"/>
      <color rgb="FF00610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7F7F7F"/>
      <name val="Calibri"/>
      <family val="0"/>
      <charset val="1"/>
    </font>
    <font>
      <b val="true"/>
      <sz val="10"/>
      <color rgb="FF9C0006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9D2E9"/>
        <bgColor rgb="FFD9D9D9"/>
      </patternFill>
    </fill>
    <fill>
      <patternFill patternType="solid">
        <fgColor rgb="FFBDD7EE"/>
        <bgColor rgb="FFB4C7E7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D9D9"/>
        <bgColor rgb="FFD9D2E9"/>
      </patternFill>
    </fill>
    <fill>
      <patternFill patternType="solid">
        <fgColor rgb="FFB4C7E7"/>
        <bgColor rgb="FFBDD7EE"/>
      </patternFill>
    </fill>
    <fill>
      <patternFill patternType="solid">
        <fgColor rgb="FFFFC7CE"/>
        <bgColor rgb="FFF8CBA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7F7F7F"/>
      <rgbColor rgb="FFD9D9D9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4C7E7"/>
      <rgbColor rgb="FFFFC7CE"/>
      <rgbColor rgb="FFBDD7EE"/>
      <rgbColor rgb="FFF8CBAD"/>
      <rgbColor rgb="FF3366FF"/>
      <rgbColor rgb="FF33CCCC"/>
      <rgbColor rgb="FF99CC00"/>
      <rgbColor rgb="FFFCE4D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6" min="3" style="1" width="48"/>
    <col collapsed="false" customWidth="true" hidden="false" outlineLevel="0" max="7" min="7" style="0" width="2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91.5" hidden="false" customHeight="true" outlineLevel="0" collapsed="false">
      <c r="A2" s="4" t="s">
        <v>7</v>
      </c>
      <c r="B2" s="5" t="s">
        <v>8</v>
      </c>
      <c r="C2" s="6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customFormat="false" ht="78" hidden="false" customHeight="true" outlineLevel="0" collapsed="false">
      <c r="A3" s="4" t="s">
        <v>14</v>
      </c>
      <c r="B3" s="5" t="s">
        <v>15</v>
      </c>
      <c r="C3" s="6" t="s">
        <v>16</v>
      </c>
      <c r="D3" s="6" t="s">
        <v>17</v>
      </c>
      <c r="E3" s="7" t="s">
        <v>18</v>
      </c>
      <c r="F3" s="7" t="s">
        <v>19</v>
      </c>
      <c r="G3" s="8" t="s">
        <v>20</v>
      </c>
    </row>
    <row r="4" customFormat="false" ht="63.75" hidden="false" customHeight="true" outlineLevel="0" collapsed="false">
      <c r="A4" s="4" t="s">
        <v>21</v>
      </c>
      <c r="B4" s="5" t="s">
        <v>22</v>
      </c>
      <c r="C4" s="6" t="s">
        <v>23</v>
      </c>
      <c r="D4" s="7" t="s">
        <v>24</v>
      </c>
      <c r="E4" s="7" t="s">
        <v>25</v>
      </c>
      <c r="F4" s="7" t="s">
        <v>26</v>
      </c>
      <c r="G4" s="8" t="s">
        <v>27</v>
      </c>
    </row>
    <row r="5" customFormat="false" ht="63.75" hidden="false" customHeight="true" outlineLevel="0" collapsed="false">
      <c r="A5" s="4" t="s">
        <v>28</v>
      </c>
      <c r="B5" s="5" t="s">
        <v>29</v>
      </c>
      <c r="C5" s="6" t="s">
        <v>16</v>
      </c>
      <c r="D5" s="6" t="s">
        <v>30</v>
      </c>
      <c r="E5" s="7" t="s">
        <v>31</v>
      </c>
      <c r="F5" s="6" t="s">
        <v>32</v>
      </c>
      <c r="G5" s="8" t="s">
        <v>27</v>
      </c>
    </row>
    <row r="6" customFormat="false" ht="78" hidden="false" customHeight="true" outlineLevel="0" collapsed="false">
      <c r="A6" s="4" t="s">
        <v>33</v>
      </c>
      <c r="B6" s="5" t="s">
        <v>34</v>
      </c>
      <c r="C6" s="6" t="s">
        <v>35</v>
      </c>
      <c r="D6" s="7" t="s">
        <v>36</v>
      </c>
      <c r="E6" s="7" t="s">
        <v>37</v>
      </c>
      <c r="F6" s="6" t="s">
        <v>38</v>
      </c>
      <c r="G6" s="8" t="s">
        <v>27</v>
      </c>
    </row>
    <row r="7" customFormat="false" ht="49.5" hidden="false" customHeight="true" outlineLevel="0" collapsed="false">
      <c r="A7" s="4" t="s">
        <v>39</v>
      </c>
      <c r="B7" s="5" t="s">
        <v>40</v>
      </c>
      <c r="C7" s="6" t="s">
        <v>41</v>
      </c>
      <c r="D7" s="6" t="s">
        <v>42</v>
      </c>
      <c r="E7" s="7" t="s">
        <v>43</v>
      </c>
      <c r="F7" s="7" t="s">
        <v>44</v>
      </c>
      <c r="G7" s="8" t="s">
        <v>27</v>
      </c>
    </row>
    <row r="8" customFormat="false" ht="49.5" hidden="false" customHeight="true" outlineLevel="0" collapsed="false">
      <c r="A8" s="4" t="s">
        <v>45</v>
      </c>
      <c r="B8" s="5" t="s">
        <v>46</v>
      </c>
      <c r="C8" s="6" t="s">
        <v>47</v>
      </c>
      <c r="D8" s="6" t="s">
        <v>48</v>
      </c>
      <c r="E8" s="7" t="s">
        <v>49</v>
      </c>
      <c r="F8" s="7" t="s">
        <v>50</v>
      </c>
      <c r="G8" s="8" t="s">
        <v>27</v>
      </c>
    </row>
    <row r="9" customFormat="false" ht="63.75" hidden="false" customHeight="true" outlineLevel="0" collapsed="false">
      <c r="A9" s="4" t="s">
        <v>51</v>
      </c>
      <c r="B9" s="5" t="s">
        <v>52</v>
      </c>
      <c r="C9" s="6" t="s">
        <v>53</v>
      </c>
      <c r="D9" s="6" t="s">
        <v>48</v>
      </c>
      <c r="E9" s="7" t="s">
        <v>54</v>
      </c>
      <c r="F9" s="6" t="s">
        <v>55</v>
      </c>
      <c r="G9" s="8" t="s">
        <v>27</v>
      </c>
    </row>
    <row r="10" customFormat="false" ht="49.5" hidden="false" customHeight="true" outlineLevel="0" collapsed="false">
      <c r="A10" s="4" t="s">
        <v>56</v>
      </c>
      <c r="B10" s="5" t="s">
        <v>57</v>
      </c>
      <c r="C10" s="7" t="s">
        <v>58</v>
      </c>
      <c r="D10" s="7" t="s">
        <v>59</v>
      </c>
      <c r="E10" s="6" t="s">
        <v>60</v>
      </c>
      <c r="F10" s="7" t="s">
        <v>61</v>
      </c>
      <c r="G10" s="8" t="s">
        <v>62</v>
      </c>
    </row>
    <row r="11" customFormat="false" ht="63.75" hidden="false" customHeight="true" outlineLevel="0" collapsed="false">
      <c r="A11" s="9" t="s">
        <v>63</v>
      </c>
      <c r="B11" s="5" t="s">
        <v>64</v>
      </c>
      <c r="C11" s="7" t="s">
        <v>65</v>
      </c>
      <c r="D11" s="7" t="s">
        <v>66</v>
      </c>
      <c r="E11" s="6" t="s">
        <v>67</v>
      </c>
      <c r="F11" s="7" t="s">
        <v>68</v>
      </c>
      <c r="G11" s="8" t="s">
        <v>69</v>
      </c>
    </row>
    <row r="12" customFormat="false" ht="49.5" hidden="false" customHeight="true" outlineLevel="0" collapsed="false">
      <c r="A12" s="9" t="s">
        <v>70</v>
      </c>
      <c r="B12" s="5" t="s">
        <v>71</v>
      </c>
      <c r="C12" s="7" t="s">
        <v>72</v>
      </c>
      <c r="D12" s="7" t="s">
        <v>73</v>
      </c>
      <c r="E12" s="6" t="s">
        <v>74</v>
      </c>
      <c r="F12" s="7" t="s">
        <v>75</v>
      </c>
      <c r="G12" s="8" t="s">
        <v>76</v>
      </c>
    </row>
    <row r="13" customFormat="false" ht="49.5" hidden="false" customHeight="true" outlineLevel="0" collapsed="false">
      <c r="A13" s="9" t="s">
        <v>77</v>
      </c>
      <c r="B13" s="5" t="s">
        <v>78</v>
      </c>
      <c r="C13" s="7" t="s">
        <v>79</v>
      </c>
      <c r="D13" s="7" t="s">
        <v>80</v>
      </c>
      <c r="E13" s="6" t="s">
        <v>81</v>
      </c>
      <c r="F13" s="7" t="s">
        <v>82</v>
      </c>
      <c r="G13" s="8" t="s">
        <v>69</v>
      </c>
    </row>
    <row r="14" customFormat="false" ht="36" hidden="false" customHeight="true" outlineLevel="0" collapsed="false">
      <c r="A14" s="9" t="s">
        <v>83</v>
      </c>
      <c r="B14" s="5" t="s">
        <v>84</v>
      </c>
      <c r="C14" s="7" t="s">
        <v>85</v>
      </c>
      <c r="D14" s="7" t="s">
        <v>86</v>
      </c>
      <c r="E14" s="6" t="s">
        <v>87</v>
      </c>
      <c r="F14" s="7" t="s">
        <v>88</v>
      </c>
      <c r="G14" s="8" t="s">
        <v>69</v>
      </c>
    </row>
    <row r="15" customFormat="false" ht="49.5" hidden="false" customHeight="true" outlineLevel="0" collapsed="false">
      <c r="A15" s="9" t="s">
        <v>89</v>
      </c>
      <c r="B15" s="5" t="s">
        <v>90</v>
      </c>
      <c r="C15" s="7" t="s">
        <v>91</v>
      </c>
      <c r="D15" s="7" t="s">
        <v>92</v>
      </c>
      <c r="E15" s="6" t="s">
        <v>93</v>
      </c>
      <c r="F15" s="7" t="s">
        <v>94</v>
      </c>
      <c r="G15" s="8" t="s">
        <v>76</v>
      </c>
    </row>
    <row r="16" customFormat="false" ht="36" hidden="false" customHeight="true" outlineLevel="0" collapsed="false">
      <c r="A16" s="9" t="s">
        <v>95</v>
      </c>
      <c r="B16" s="5" t="s">
        <v>96</v>
      </c>
      <c r="C16" s="7" t="s">
        <v>97</v>
      </c>
      <c r="D16" s="7" t="s">
        <v>98</v>
      </c>
      <c r="E16" s="6" t="s">
        <v>99</v>
      </c>
      <c r="F16" s="6" t="s">
        <v>100</v>
      </c>
      <c r="G16" s="8" t="s">
        <v>76</v>
      </c>
    </row>
    <row r="17" customFormat="false" ht="30" hidden="false" customHeight="true" outlineLevel="0" collapsed="false">
      <c r="A17" s="9" t="s">
        <v>101</v>
      </c>
      <c r="B17" s="5" t="s">
        <v>102</v>
      </c>
      <c r="C17" s="7" t="s">
        <v>103</v>
      </c>
      <c r="D17" s="7" t="s">
        <v>104</v>
      </c>
      <c r="E17" s="6" t="s">
        <v>105</v>
      </c>
      <c r="F17" s="7" t="s">
        <v>106</v>
      </c>
      <c r="G17" s="8" t="s">
        <v>76</v>
      </c>
    </row>
    <row r="18" customFormat="false" ht="49.5" hidden="false" customHeight="true" outlineLevel="0" collapsed="false">
      <c r="A18" s="9" t="s">
        <v>107</v>
      </c>
      <c r="B18" s="5" t="s">
        <v>108</v>
      </c>
      <c r="C18" s="7" t="s">
        <v>109</v>
      </c>
      <c r="D18" s="7" t="s">
        <v>110</v>
      </c>
      <c r="E18" s="7" t="s">
        <v>111</v>
      </c>
      <c r="F18" s="7" t="s">
        <v>112</v>
      </c>
      <c r="G18" s="8" t="s">
        <v>69</v>
      </c>
    </row>
    <row r="19" customFormat="false" ht="36" hidden="false" customHeight="true" outlineLevel="0" collapsed="false">
      <c r="A19" s="9" t="s">
        <v>113</v>
      </c>
      <c r="B19" s="5" t="s">
        <v>114</v>
      </c>
      <c r="C19" s="7" t="s">
        <v>115</v>
      </c>
      <c r="D19" s="7" t="s">
        <v>116</v>
      </c>
      <c r="E19" s="6" t="s">
        <v>117</v>
      </c>
      <c r="F19" s="6" t="s">
        <v>118</v>
      </c>
      <c r="G19" s="8" t="s">
        <v>76</v>
      </c>
    </row>
    <row r="20" customFormat="false" ht="36" hidden="false" customHeight="true" outlineLevel="0" collapsed="false">
      <c r="A20" s="9" t="s">
        <v>119</v>
      </c>
      <c r="B20" s="5" t="s">
        <v>120</v>
      </c>
      <c r="C20" s="7" t="s">
        <v>121</v>
      </c>
      <c r="D20" s="7" t="s">
        <v>122</v>
      </c>
      <c r="E20" s="6" t="s">
        <v>123</v>
      </c>
      <c r="F20" s="7" t="s">
        <v>124</v>
      </c>
      <c r="G20" s="8" t="s">
        <v>76</v>
      </c>
    </row>
    <row r="21" customFormat="false" ht="91.5" hidden="false" customHeight="true" outlineLevel="0" collapsed="false">
      <c r="A21" s="10" t="s">
        <v>125</v>
      </c>
      <c r="B21" s="5" t="s">
        <v>126</v>
      </c>
      <c r="C21" s="6" t="s">
        <v>127</v>
      </c>
      <c r="D21" s="6" t="s">
        <v>128</v>
      </c>
      <c r="E21" s="7" t="s">
        <v>129</v>
      </c>
      <c r="F21" s="6" t="s">
        <v>130</v>
      </c>
      <c r="G21" s="8" t="s">
        <v>27</v>
      </c>
    </row>
    <row r="22" customFormat="false" ht="105.75" hidden="false" customHeight="true" outlineLevel="0" collapsed="false">
      <c r="A22" s="10" t="s">
        <v>131</v>
      </c>
      <c r="B22" s="5" t="s">
        <v>132</v>
      </c>
      <c r="C22" s="6" t="s">
        <v>133</v>
      </c>
      <c r="D22" s="6" t="s">
        <v>128</v>
      </c>
      <c r="E22" s="7" t="s">
        <v>134</v>
      </c>
      <c r="F22" s="6" t="s">
        <v>135</v>
      </c>
      <c r="G22" s="8" t="s">
        <v>27</v>
      </c>
    </row>
    <row r="23" customFormat="false" ht="36" hidden="false" customHeight="true" outlineLevel="0" collapsed="false">
      <c r="A23" s="10" t="s">
        <v>136</v>
      </c>
      <c r="B23" s="5" t="s">
        <v>137</v>
      </c>
      <c r="C23" s="7" t="s">
        <v>138</v>
      </c>
      <c r="D23" s="7" t="s">
        <v>139</v>
      </c>
      <c r="E23" s="7" t="s">
        <v>140</v>
      </c>
      <c r="F23" s="7" t="s">
        <v>141</v>
      </c>
      <c r="G23" s="8" t="s">
        <v>62</v>
      </c>
    </row>
    <row r="24" customFormat="false" ht="49.5" hidden="false" customHeight="true" outlineLevel="0" collapsed="false">
      <c r="A24" s="10" t="s">
        <v>142</v>
      </c>
      <c r="B24" s="5" t="s">
        <v>143</v>
      </c>
      <c r="C24" s="6" t="s">
        <v>144</v>
      </c>
      <c r="D24" s="7" t="s">
        <v>145</v>
      </c>
      <c r="E24" s="7" t="s">
        <v>146</v>
      </c>
      <c r="F24" s="7" t="s">
        <v>147</v>
      </c>
      <c r="G24" s="8" t="s">
        <v>13</v>
      </c>
    </row>
    <row r="25" customFormat="false" ht="49.5" hidden="false" customHeight="true" outlineLevel="0" collapsed="false">
      <c r="A25" s="10" t="s">
        <v>148</v>
      </c>
      <c r="B25" s="5" t="s">
        <v>149</v>
      </c>
      <c r="C25" s="7" t="s">
        <v>150</v>
      </c>
      <c r="D25" s="7" t="s">
        <v>151</v>
      </c>
      <c r="E25" s="6" t="s">
        <v>152</v>
      </c>
      <c r="F25" s="7" t="s">
        <v>153</v>
      </c>
      <c r="G25" s="8" t="s">
        <v>154</v>
      </c>
    </row>
    <row r="26" customFormat="false" ht="105.75" hidden="false" customHeight="true" outlineLevel="0" collapsed="false">
      <c r="A26" s="10" t="s">
        <v>155</v>
      </c>
      <c r="B26" s="5" t="s">
        <v>156</v>
      </c>
      <c r="C26" s="6" t="s">
        <v>157</v>
      </c>
      <c r="D26" s="7" t="s">
        <v>158</v>
      </c>
      <c r="E26" s="6" t="s">
        <v>159</v>
      </c>
      <c r="F26" s="7" t="s">
        <v>160</v>
      </c>
      <c r="G26" s="8" t="s">
        <v>154</v>
      </c>
    </row>
    <row r="27" customFormat="false" ht="49.5" hidden="false" customHeight="true" outlineLevel="0" collapsed="false">
      <c r="A27" s="10" t="s">
        <v>161</v>
      </c>
      <c r="B27" s="5" t="s">
        <v>162</v>
      </c>
      <c r="C27" s="7" t="s">
        <v>163</v>
      </c>
      <c r="D27" s="7" t="s">
        <v>164</v>
      </c>
      <c r="E27" s="7" t="s">
        <v>165</v>
      </c>
      <c r="F27" s="6" t="s">
        <v>166</v>
      </c>
      <c r="G27" s="8" t="s">
        <v>154</v>
      </c>
    </row>
    <row r="28" customFormat="false" ht="49.5" hidden="false" customHeight="true" outlineLevel="0" collapsed="false">
      <c r="A28" s="10" t="s">
        <v>167</v>
      </c>
      <c r="B28" s="5" t="s">
        <v>168</v>
      </c>
      <c r="C28" s="6" t="s">
        <v>169</v>
      </c>
      <c r="D28" s="7" t="s">
        <v>170</v>
      </c>
      <c r="E28" s="7" t="s">
        <v>171</v>
      </c>
      <c r="F28" s="7" t="s">
        <v>172</v>
      </c>
      <c r="G28" s="8" t="s">
        <v>154</v>
      </c>
    </row>
    <row r="29" customFormat="false" ht="49.5" hidden="false" customHeight="true" outlineLevel="0" collapsed="false">
      <c r="A29" s="10" t="s">
        <v>173</v>
      </c>
      <c r="B29" s="5" t="s">
        <v>174</v>
      </c>
      <c r="C29" s="7" t="s">
        <v>175</v>
      </c>
      <c r="D29" s="6" t="s">
        <v>176</v>
      </c>
      <c r="E29" s="6" t="s">
        <v>177</v>
      </c>
      <c r="F29" s="6" t="s">
        <v>178</v>
      </c>
      <c r="G29" s="8" t="s">
        <v>154</v>
      </c>
    </row>
    <row r="30" customFormat="false" ht="63.75" hidden="false" customHeight="true" outlineLevel="0" collapsed="false">
      <c r="A30" s="10" t="s">
        <v>179</v>
      </c>
      <c r="B30" s="5" t="s">
        <v>180</v>
      </c>
      <c r="C30" s="7" t="s">
        <v>181</v>
      </c>
      <c r="D30" s="7" t="s">
        <v>182</v>
      </c>
      <c r="E30" s="6" t="s">
        <v>183</v>
      </c>
      <c r="F30" s="7" t="s">
        <v>184</v>
      </c>
      <c r="G30" s="8" t="s">
        <v>62</v>
      </c>
    </row>
    <row r="31" customFormat="false" ht="78" hidden="false" customHeight="true" outlineLevel="0" collapsed="false">
      <c r="A31" s="10" t="s">
        <v>185</v>
      </c>
      <c r="B31" s="5" t="s">
        <v>186</v>
      </c>
      <c r="C31" s="6" t="s">
        <v>187</v>
      </c>
      <c r="D31" s="6" t="s">
        <v>128</v>
      </c>
      <c r="E31" s="7" t="s">
        <v>188</v>
      </c>
      <c r="F31" s="6" t="s">
        <v>189</v>
      </c>
      <c r="G31" s="8" t="s">
        <v>27</v>
      </c>
    </row>
    <row r="32" customFormat="false" ht="63.75" hidden="false" customHeight="true" outlineLevel="0" collapsed="false">
      <c r="A32" s="10" t="s">
        <v>190</v>
      </c>
      <c r="B32" s="5" t="s">
        <v>191</v>
      </c>
      <c r="C32" s="6" t="s">
        <v>192</v>
      </c>
      <c r="D32" s="6" t="s">
        <v>128</v>
      </c>
      <c r="E32" s="7" t="s">
        <v>193</v>
      </c>
      <c r="F32" s="6" t="s">
        <v>189</v>
      </c>
      <c r="G32" s="8" t="s">
        <v>27</v>
      </c>
    </row>
    <row r="33" customFormat="false" ht="78" hidden="false" customHeight="true" outlineLevel="0" collapsed="false">
      <c r="A33" s="11" t="s">
        <v>194</v>
      </c>
      <c r="B33" s="5" t="s">
        <v>195</v>
      </c>
      <c r="C33" s="7" t="s">
        <v>196</v>
      </c>
      <c r="D33" s="7" t="s">
        <v>197</v>
      </c>
      <c r="E33" s="6" t="s">
        <v>198</v>
      </c>
      <c r="F33" s="7" t="s">
        <v>199</v>
      </c>
      <c r="G33" s="8" t="s">
        <v>62</v>
      </c>
    </row>
    <row r="34" customFormat="false" ht="49.5" hidden="false" customHeight="true" outlineLevel="0" collapsed="false">
      <c r="A34" s="11" t="s">
        <v>200</v>
      </c>
      <c r="B34" s="5" t="s">
        <v>201</v>
      </c>
      <c r="C34" s="7" t="s">
        <v>202</v>
      </c>
      <c r="D34" s="7" t="s">
        <v>203</v>
      </c>
      <c r="E34" s="6" t="s">
        <v>204</v>
      </c>
      <c r="F34" s="7" t="s">
        <v>205</v>
      </c>
      <c r="G34" s="8" t="s">
        <v>62</v>
      </c>
    </row>
    <row r="35" customFormat="false" ht="63.75" hidden="false" customHeight="true" outlineLevel="0" collapsed="false">
      <c r="A35" s="11" t="s">
        <v>206</v>
      </c>
      <c r="B35" s="5" t="s">
        <v>207</v>
      </c>
      <c r="C35" s="7" t="s">
        <v>208</v>
      </c>
      <c r="D35" s="7" t="s">
        <v>209</v>
      </c>
      <c r="E35" s="7" t="s">
        <v>210</v>
      </c>
      <c r="F35" s="7" t="s">
        <v>211</v>
      </c>
      <c r="G35" s="8" t="s">
        <v>154</v>
      </c>
    </row>
    <row r="36" customFormat="false" ht="63.75" hidden="false" customHeight="true" outlineLevel="0" collapsed="false">
      <c r="A36" s="11" t="s">
        <v>212</v>
      </c>
      <c r="B36" s="5" t="s">
        <v>213</v>
      </c>
      <c r="C36" s="7" t="s">
        <v>214</v>
      </c>
      <c r="D36" s="7" t="s">
        <v>215</v>
      </c>
      <c r="E36" s="6" t="s">
        <v>216</v>
      </c>
      <c r="F36" s="7" t="s">
        <v>217</v>
      </c>
      <c r="G36" s="8" t="s">
        <v>154</v>
      </c>
    </row>
    <row r="37" customFormat="false" ht="60" hidden="false" customHeight="true" outlineLevel="0" collapsed="false">
      <c r="A37" s="12" t="s">
        <v>218</v>
      </c>
      <c r="B37" s="13" t="s">
        <v>219</v>
      </c>
      <c r="C37" s="14" t="s">
        <v>220</v>
      </c>
      <c r="D37" s="15" t="s">
        <v>221</v>
      </c>
      <c r="E37" s="15" t="s">
        <v>222</v>
      </c>
      <c r="F37" s="15" t="s">
        <v>223</v>
      </c>
      <c r="G37" s="8" t="s">
        <v>69</v>
      </c>
    </row>
    <row r="38" customFormat="false" ht="60" hidden="false" customHeight="true" outlineLevel="0" collapsed="false">
      <c r="A38" s="12" t="s">
        <v>224</v>
      </c>
      <c r="B38" s="13" t="s">
        <v>225</v>
      </c>
      <c r="C38" s="14" t="s">
        <v>226</v>
      </c>
      <c r="D38" s="15" t="s">
        <v>227</v>
      </c>
      <c r="E38" s="15" t="s">
        <v>228</v>
      </c>
      <c r="F38" s="15" t="s">
        <v>228</v>
      </c>
      <c r="G38" s="8" t="s">
        <v>76</v>
      </c>
    </row>
    <row r="39" customFormat="false" ht="60" hidden="false" customHeight="true" outlineLevel="0" collapsed="false">
      <c r="A39" s="12" t="s">
        <v>229</v>
      </c>
      <c r="B39" s="13" t="s">
        <v>230</v>
      </c>
      <c r="C39" s="14" t="s">
        <v>231</v>
      </c>
      <c r="D39" s="14" t="s">
        <v>232</v>
      </c>
      <c r="E39" s="15" t="s">
        <v>228</v>
      </c>
      <c r="F39" s="14" t="s">
        <v>233</v>
      </c>
      <c r="G39" s="8" t="s">
        <v>76</v>
      </c>
    </row>
    <row r="40" customFormat="false" ht="60" hidden="false" customHeight="true" outlineLevel="0" collapsed="false">
      <c r="A40" s="12" t="s">
        <v>234</v>
      </c>
      <c r="B40" s="13" t="s">
        <v>235</v>
      </c>
      <c r="C40" s="14" t="s">
        <v>236</v>
      </c>
      <c r="D40" s="14" t="s">
        <v>237</v>
      </c>
      <c r="E40" s="15" t="s">
        <v>228</v>
      </c>
      <c r="F40" s="14" t="s">
        <v>238</v>
      </c>
      <c r="G40" s="8" t="s">
        <v>62</v>
      </c>
    </row>
    <row r="41" customFormat="false" ht="60" hidden="false" customHeight="true" outlineLevel="0" collapsed="false">
      <c r="A41" s="12" t="s">
        <v>239</v>
      </c>
      <c r="B41" s="13" t="s">
        <v>240</v>
      </c>
      <c r="C41" s="15" t="s">
        <v>241</v>
      </c>
      <c r="D41" s="14" t="s">
        <v>242</v>
      </c>
      <c r="E41" s="15" t="s">
        <v>228</v>
      </c>
      <c r="F41" s="14" t="s">
        <v>243</v>
      </c>
      <c r="G41" s="8" t="s">
        <v>62</v>
      </c>
    </row>
    <row r="42" customFormat="false" ht="60" hidden="false" customHeight="true" outlineLevel="0" collapsed="false">
      <c r="A42" s="12" t="s">
        <v>244</v>
      </c>
      <c r="B42" s="13" t="s">
        <v>245</v>
      </c>
      <c r="C42" s="14" t="s">
        <v>246</v>
      </c>
      <c r="D42" s="14" t="s">
        <v>247</v>
      </c>
      <c r="E42" s="15" t="s">
        <v>228</v>
      </c>
      <c r="F42" s="14" t="s">
        <v>248</v>
      </c>
      <c r="G42" s="8" t="s">
        <v>62</v>
      </c>
    </row>
    <row r="43" customFormat="false" ht="60" hidden="false" customHeight="true" outlineLevel="0" collapsed="false">
      <c r="A43" s="12" t="s">
        <v>249</v>
      </c>
      <c r="B43" s="13" t="s">
        <v>250</v>
      </c>
      <c r="C43" s="14" t="s">
        <v>251</v>
      </c>
      <c r="D43" s="15" t="s">
        <v>252</v>
      </c>
      <c r="E43" s="15" t="s">
        <v>228</v>
      </c>
      <c r="F43" s="15" t="s">
        <v>253</v>
      </c>
      <c r="G43" s="8" t="s">
        <v>254</v>
      </c>
    </row>
    <row r="44" customFormat="false" ht="60" hidden="false" customHeight="true" outlineLevel="0" collapsed="false">
      <c r="A44" s="12" t="s">
        <v>255</v>
      </c>
      <c r="B44" s="13" t="s">
        <v>256</v>
      </c>
      <c r="C44" s="14" t="s">
        <v>257</v>
      </c>
      <c r="D44" s="15" t="s">
        <v>258</v>
      </c>
      <c r="E44" s="15" t="s">
        <v>228</v>
      </c>
      <c r="F44" s="15" t="s">
        <v>259</v>
      </c>
      <c r="G44" s="8" t="s">
        <v>69</v>
      </c>
    </row>
    <row r="45" customFormat="false" ht="60" hidden="false" customHeight="true" outlineLevel="0" collapsed="false">
      <c r="A45" s="12" t="s">
        <v>260</v>
      </c>
      <c r="B45" s="13" t="s">
        <v>261</v>
      </c>
      <c r="C45" s="15" t="s">
        <v>228</v>
      </c>
      <c r="D45" s="15" t="s">
        <v>262</v>
      </c>
      <c r="E45" s="15" t="s">
        <v>228</v>
      </c>
      <c r="F45" s="15" t="s">
        <v>228</v>
      </c>
      <c r="G45" s="8" t="s">
        <v>263</v>
      </c>
    </row>
    <row r="46" customFormat="false" ht="60" hidden="false" customHeight="true" outlineLevel="0" collapsed="false">
      <c r="A46" s="12" t="s">
        <v>264</v>
      </c>
      <c r="B46" s="13" t="s">
        <v>265</v>
      </c>
      <c r="C46" s="14" t="s">
        <v>266</v>
      </c>
      <c r="D46" s="14" t="s">
        <v>267</v>
      </c>
      <c r="E46" s="15" t="s">
        <v>228</v>
      </c>
      <c r="F46" s="15" t="s">
        <v>228</v>
      </c>
      <c r="G46" s="8" t="s">
        <v>62</v>
      </c>
    </row>
    <row r="47" customFormat="false" ht="60" hidden="false" customHeight="true" outlineLevel="0" collapsed="false">
      <c r="A47" s="12" t="s">
        <v>268</v>
      </c>
      <c r="B47" s="13" t="s">
        <v>269</v>
      </c>
      <c r="C47" s="14" t="s">
        <v>270</v>
      </c>
      <c r="D47" s="14" t="s">
        <v>271</v>
      </c>
      <c r="E47" s="15" t="s">
        <v>228</v>
      </c>
      <c r="F47" s="14" t="s">
        <v>272</v>
      </c>
      <c r="G47" s="8" t="s">
        <v>62</v>
      </c>
    </row>
    <row r="48" customFormat="false" ht="60" hidden="false" customHeight="true" outlineLevel="0" collapsed="false">
      <c r="A48" s="12" t="s">
        <v>273</v>
      </c>
      <c r="B48" s="13" t="s">
        <v>274</v>
      </c>
      <c r="C48" s="15" t="s">
        <v>228</v>
      </c>
      <c r="D48" s="15" t="s">
        <v>275</v>
      </c>
      <c r="E48" s="15" t="s">
        <v>228</v>
      </c>
      <c r="F48" s="15" t="s">
        <v>228</v>
      </c>
      <c r="G48" s="8" t="s">
        <v>263</v>
      </c>
    </row>
    <row r="49" customFormat="false" ht="60" hidden="false" customHeight="true" outlineLevel="0" collapsed="false">
      <c r="A49" s="12" t="s">
        <v>276</v>
      </c>
      <c r="B49" s="13" t="s">
        <v>277</v>
      </c>
      <c r="C49" s="15" t="s">
        <v>228</v>
      </c>
      <c r="D49" s="14" t="s">
        <v>278</v>
      </c>
      <c r="E49" s="15" t="s">
        <v>228</v>
      </c>
      <c r="F49" s="15" t="s">
        <v>279</v>
      </c>
      <c r="G49" s="8" t="s">
        <v>154</v>
      </c>
    </row>
    <row r="50" customFormat="false" ht="60" hidden="false" customHeight="true" outlineLevel="0" collapsed="false">
      <c r="A50" s="12" t="s">
        <v>280</v>
      </c>
      <c r="B50" s="13" t="s">
        <v>281</v>
      </c>
      <c r="C50" s="15" t="s">
        <v>228</v>
      </c>
      <c r="D50" s="15" t="s">
        <v>282</v>
      </c>
      <c r="E50" s="15" t="s">
        <v>228</v>
      </c>
      <c r="F50" s="15" t="s">
        <v>228</v>
      </c>
      <c r="G50" s="8" t="s">
        <v>154</v>
      </c>
    </row>
    <row r="51" customFormat="false" ht="60" hidden="false" customHeight="true" outlineLevel="0" collapsed="false">
      <c r="A51" s="12" t="s">
        <v>283</v>
      </c>
      <c r="B51" s="13" t="s">
        <v>284</v>
      </c>
      <c r="C51" s="14" t="s">
        <v>285</v>
      </c>
      <c r="D51" s="15" t="s">
        <v>286</v>
      </c>
      <c r="E51" s="15" t="s">
        <v>228</v>
      </c>
      <c r="F51" s="15" t="s">
        <v>228</v>
      </c>
      <c r="G51" s="8" t="s">
        <v>69</v>
      </c>
    </row>
    <row r="52" customFormat="false" ht="60" hidden="false" customHeight="true" outlineLevel="0" collapsed="false">
      <c r="A52" s="12" t="s">
        <v>287</v>
      </c>
      <c r="B52" s="13" t="s">
        <v>288</v>
      </c>
      <c r="C52" s="14" t="s">
        <v>289</v>
      </c>
      <c r="D52" s="15" t="s">
        <v>290</v>
      </c>
      <c r="E52" s="15" t="s">
        <v>228</v>
      </c>
      <c r="F52" s="15" t="s">
        <v>228</v>
      </c>
      <c r="G52" s="8" t="s">
        <v>76</v>
      </c>
    </row>
    <row r="53" customFormat="false" ht="60" hidden="false" customHeight="true" outlineLevel="0" collapsed="false">
      <c r="A53" s="12" t="s">
        <v>291</v>
      </c>
      <c r="B53" s="13" t="s">
        <v>292</v>
      </c>
      <c r="C53" s="15" t="s">
        <v>228</v>
      </c>
      <c r="D53" s="15" t="s">
        <v>293</v>
      </c>
      <c r="E53" s="15" t="s">
        <v>228</v>
      </c>
      <c r="F53" s="15" t="s">
        <v>228</v>
      </c>
      <c r="G53" s="8" t="s">
        <v>294</v>
      </c>
    </row>
    <row r="54" customFormat="false" ht="60" hidden="false" customHeight="true" outlineLevel="0" collapsed="false">
      <c r="A54" s="12" t="s">
        <v>295</v>
      </c>
      <c r="B54" s="13" t="s">
        <v>296</v>
      </c>
      <c r="C54" s="15" t="s">
        <v>228</v>
      </c>
      <c r="D54" s="15" t="s">
        <v>297</v>
      </c>
      <c r="E54" s="15" t="s">
        <v>228</v>
      </c>
      <c r="F54" s="15" t="s">
        <v>228</v>
      </c>
      <c r="G54" s="8" t="s">
        <v>294</v>
      </c>
    </row>
  </sheetData>
  <autoFilter ref="A1:F36"/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298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</row>
    <row r="2" customFormat="false" ht="15" hidden="false" customHeight="true" outlineLevel="0" collapsed="false">
      <c r="A2" s="16" t="s">
        <v>304</v>
      </c>
      <c r="B2" s="17" t="n">
        <f aca="false">SUMPRODUCT((LEFT('Feature Matrix'!$A$2:$A$54,1)="M")*1)</f>
        <v>9</v>
      </c>
      <c r="C2" s="17" t="n">
        <f aca="false">SUMPRODUCT((LEFT('Feature Matrix'!$A$2:$A$54,1)="M")*(LEFT('Feature Matrix'!$C$2:$C$54,3)="YES"))</f>
        <v>1</v>
      </c>
      <c r="D2" s="17" t="n">
        <f aca="false">SUMPRODUCT((LEFT('Feature Matrix'!$A$2:$A$54,1)="M")*(LEFT('Feature Matrix'!$D$2:$D$54,3)="YES"))</f>
        <v>4</v>
      </c>
      <c r="E2" s="17" t="n">
        <f aca="false">SUMPRODUCT((LEFT('Feature Matrix'!$A$2:$A$54,1)="M")*(LEFT('Feature Matrix'!$E$2:$E$54,3)="YES"))</f>
        <v>8</v>
      </c>
      <c r="F2" s="17" t="n">
        <f aca="false">SUMPRODUCT((LEFT('Feature Matrix'!$A$2:$A$54,1)="M")*(LEFT('Feature Matrix'!$F$2:$F$54,3)="YES"))</f>
        <v>6</v>
      </c>
    </row>
    <row r="3" customFormat="false" ht="15" hidden="false" customHeight="true" outlineLevel="0" collapsed="false">
      <c r="A3" s="18" t="s">
        <v>305</v>
      </c>
      <c r="B3" s="17" t="n">
        <f aca="false">SUMPRODUCT((LEFT('Feature Matrix'!$A$2:$A$54,1)="D")*1)</f>
        <v>10</v>
      </c>
      <c r="C3" s="17" t="n">
        <f aca="false">SUMPRODUCT((LEFT('Feature Matrix'!$A$2:$A$54,1)="D")*(LEFT('Feature Matrix'!$C$2:$C$54,3)="YES"))</f>
        <v>10</v>
      </c>
      <c r="D3" s="17" t="n">
        <f aca="false">SUMPRODUCT((LEFT('Feature Matrix'!$A$2:$A$54,1)="D")*(LEFT('Feature Matrix'!$D$2:$D$54,3)="YES"))</f>
        <v>10</v>
      </c>
      <c r="E3" s="17" t="n">
        <f aca="false">SUMPRODUCT((LEFT('Feature Matrix'!$A$2:$A$54,1)="D")*(LEFT('Feature Matrix'!$E$2:$E$54,3)="YES"))</f>
        <v>1</v>
      </c>
      <c r="F3" s="17" t="n">
        <f aca="false">SUMPRODUCT((LEFT('Feature Matrix'!$A$2:$A$54,1)="D")*(LEFT('Feature Matrix'!$F$2:$F$54,3)="YES"))</f>
        <v>8</v>
      </c>
    </row>
    <row r="4" customFormat="false" ht="15" hidden="false" customHeight="true" outlineLevel="0" collapsed="false">
      <c r="A4" s="19" t="s">
        <v>306</v>
      </c>
      <c r="B4" s="17" t="n">
        <f aca="false">SUMPRODUCT((LEFT('Feature Matrix'!$A$2:$A$54,1)="X")*1)</f>
        <v>12</v>
      </c>
      <c r="C4" s="17" t="n">
        <f aca="false">SUMPRODUCT((LEFT('Feature Matrix'!$A$2:$A$54,1)="X")*(LEFT('Feature Matrix'!$C$2:$C$54,3)="YES"))</f>
        <v>5</v>
      </c>
      <c r="D4" s="17" t="n">
        <f aca="false">SUMPRODUCT((LEFT('Feature Matrix'!$A$2:$A$54,1)="X")*(LEFT('Feature Matrix'!$D$2:$D$54,3)="YES"))</f>
        <v>7</v>
      </c>
      <c r="E4" s="17" t="n">
        <f aca="false">SUMPRODUCT((LEFT('Feature Matrix'!$A$2:$A$54,1)="X")*(LEFT('Feature Matrix'!$E$2:$E$54,3)="YES"))</f>
        <v>8</v>
      </c>
      <c r="F4" s="17" t="n">
        <f aca="false">SUMPRODUCT((LEFT('Feature Matrix'!$A$2:$A$54,1)="X")*(LEFT('Feature Matrix'!$F$2:$F$54,3)="YES"))</f>
        <v>6</v>
      </c>
    </row>
    <row r="5" customFormat="false" ht="15" hidden="false" customHeight="true" outlineLevel="0" collapsed="false">
      <c r="A5" s="20" t="s">
        <v>307</v>
      </c>
      <c r="B5" s="17" t="n">
        <f aca="false">SUMPRODUCT((LEFT('Feature Matrix'!$A$2:$A$54,1)="P")*1)</f>
        <v>4</v>
      </c>
      <c r="C5" s="17" t="n">
        <f aca="false">SUMPRODUCT((LEFT('Feature Matrix'!$A$2:$A$54,1)="P")*(LEFT('Feature Matrix'!$C$2:$C$54,3)="YES"))</f>
        <v>4</v>
      </c>
      <c r="D5" s="17" t="n">
        <f aca="false">SUMPRODUCT((LEFT('Feature Matrix'!$A$2:$A$54,1)="P")*(LEFT('Feature Matrix'!$D$2:$D$54,3)="YES"))</f>
        <v>4</v>
      </c>
      <c r="E5" s="17" t="n">
        <f aca="false">SUMPRODUCT((LEFT('Feature Matrix'!$A$2:$A$54,1)="P")*(LEFT('Feature Matrix'!$E$2:$E$54,3)="YES"))</f>
        <v>1</v>
      </c>
      <c r="F5" s="17" t="n">
        <f aca="false">SUMPRODUCT((LEFT('Feature Matrix'!$A$2:$A$54,1)="P")*(LEFT('Feature Matrix'!$F$2:$F$54,3)="YES"))</f>
        <v>4</v>
      </c>
    </row>
    <row r="6" customFormat="false" ht="15" hidden="false" customHeight="true" outlineLevel="0" collapsed="false">
      <c r="A6" s="21" t="s">
        <v>308</v>
      </c>
      <c r="B6" s="22" t="n">
        <f aca="false">SUMPRODUCT((LEFT('Feature Matrix'!$A$2:$A$54,1)="G")*1)</f>
        <v>18</v>
      </c>
      <c r="C6" s="22" t="n">
        <f aca="false">SUMPRODUCT((LEFT('Feature Matrix'!$A$2:$A$54,1)="G")*(LEFT('Feature Matrix'!$C$2:$C$54,3)="YES"))</f>
        <v>11</v>
      </c>
      <c r="D6" s="22" t="n">
        <f aca="false">SUMPRODUCT((LEFT('Feature Matrix'!$A$2:$A$54,1)="G")*(LEFT('Feature Matrix'!$D$2:$D$54,3)="YES"))</f>
        <v>7</v>
      </c>
      <c r="E6" s="22" t="n">
        <f aca="false">SUMPRODUCT((LEFT('Feature Matrix'!$A$2:$A$54,1)="G")*(LEFT('Feature Matrix'!$E$2:$E$54,3)="YES"))</f>
        <v>0</v>
      </c>
      <c r="F6" s="22" t="n">
        <f aca="false">SUMPRODUCT((LEFT('Feature Matrix'!$A$2:$A$54,1)="G")*(LEFT('Feature Matrix'!$F$2:$F$54,3)="YES"))</f>
        <v>5</v>
      </c>
    </row>
    <row r="7" customFormat="false" ht="15" hidden="false" customHeight="false" outlineLevel="0" collapsed="false">
      <c r="A7" s="23" t="s">
        <v>309</v>
      </c>
      <c r="B7" s="24" t="n">
        <f aca="false">SUM(B2:B6)</f>
        <v>53</v>
      </c>
      <c r="C7" s="24" t="n">
        <f aca="false">SUM(C2:C6)</f>
        <v>31</v>
      </c>
      <c r="D7" s="24" t="n">
        <f aca="false">SUM(D2:D6)</f>
        <v>32</v>
      </c>
      <c r="E7" s="24" t="n">
        <f aca="false">SUM(E2:E6)</f>
        <v>18</v>
      </c>
      <c r="F7" s="24" t="n">
        <f aca="false">SUM(F2:F6)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25" t="s">
        <v>310</v>
      </c>
    </row>
    <row r="2" customFormat="false" ht="15.75" hidden="false" customHeight="true" outlineLevel="0" collapsed="false">
      <c r="A2" s="26" t="s">
        <v>311</v>
      </c>
      <c r="B2" s="27" t="s">
        <v>312</v>
      </c>
    </row>
    <row r="3" customFormat="false" ht="15.75" hidden="false" customHeight="true" outlineLevel="0" collapsed="false">
      <c r="A3" s="26" t="s">
        <v>313</v>
      </c>
      <c r="B3" s="27" t="s">
        <v>314</v>
      </c>
    </row>
    <row r="4" customFormat="false" ht="15.75" hidden="false" customHeight="true" outlineLevel="0" collapsed="false">
      <c r="A4" s="26" t="s">
        <v>315</v>
      </c>
      <c r="B4" s="27" t="s">
        <v>316</v>
      </c>
    </row>
    <row r="5" customFormat="false" ht="15.75" hidden="false" customHeight="true" outlineLevel="0" collapsed="false">
      <c r="A5" s="26" t="s">
        <v>317</v>
      </c>
      <c r="B5" s="27" t="s">
        <v>318</v>
      </c>
    </row>
    <row r="7" customFormat="false" ht="19.5" hidden="false" customHeight="true" outlineLevel="0" collapsed="false">
      <c r="A7" s="25" t="s">
        <v>319</v>
      </c>
    </row>
    <row r="8" customFormat="false" ht="15.75" hidden="false" customHeight="true" outlineLevel="0" collapsed="false">
      <c r="A8" s="26" t="s">
        <v>320</v>
      </c>
      <c r="B8" s="27" t="s">
        <v>321</v>
      </c>
    </row>
    <row r="9" customFormat="false" ht="27.75" hidden="false" customHeight="true" outlineLevel="0" collapsed="false">
      <c r="A9" s="26" t="s">
        <v>322</v>
      </c>
      <c r="B9" s="27" t="s">
        <v>323</v>
      </c>
    </row>
    <row r="10" customFormat="false" ht="15.75" hidden="false" customHeight="true" outlineLevel="0" collapsed="false">
      <c r="A10" s="26" t="s">
        <v>324</v>
      </c>
      <c r="B10" s="27" t="s">
        <v>325</v>
      </c>
    </row>
    <row r="12" customFormat="false" ht="19.5" hidden="false" customHeight="true" outlineLevel="0" collapsed="false">
      <c r="A12" s="25" t="s">
        <v>326</v>
      </c>
    </row>
    <row r="13" customFormat="false" ht="42" hidden="false" customHeight="true" outlineLevel="0" collapsed="false">
      <c r="A13" s="26" t="s">
        <v>327</v>
      </c>
      <c r="B13" s="27" t="s">
        <v>328</v>
      </c>
    </row>
    <row r="14" customFormat="false" ht="42" hidden="false" customHeight="true" outlineLevel="0" collapsed="false">
      <c r="A14" s="26" t="s">
        <v>329</v>
      </c>
      <c r="B14" s="27" t="s">
        <v>330</v>
      </c>
    </row>
    <row r="15" customFormat="false" ht="42" hidden="false" customHeight="true" outlineLevel="0" collapsed="false">
      <c r="A15" s="26" t="s">
        <v>331</v>
      </c>
      <c r="B15" s="27" t="s">
        <v>332</v>
      </c>
    </row>
    <row r="16" customFormat="false" ht="27.75" hidden="false" customHeight="true" outlineLevel="0" collapsed="false">
      <c r="A16" s="26" t="s">
        <v>333</v>
      </c>
      <c r="B16" s="27" t="s">
        <v>334</v>
      </c>
    </row>
    <row r="17" customFormat="false" ht="27.75" hidden="false" customHeight="true" outlineLevel="0" collapsed="false">
      <c r="A17" s="26" t="s">
        <v>335</v>
      </c>
      <c r="B17" s="27" t="s">
        <v>336</v>
      </c>
    </row>
    <row r="18" customFormat="false" ht="42" hidden="false" customHeight="true" outlineLevel="0" collapsed="false">
      <c r="A18" s="26" t="s">
        <v>337</v>
      </c>
      <c r="B18" s="27" t="s">
        <v>338</v>
      </c>
    </row>
    <row r="20" customFormat="false" ht="19.5" hidden="false" customHeight="true" outlineLevel="0" collapsed="false">
      <c r="A20" s="25" t="s">
        <v>339</v>
      </c>
    </row>
    <row r="21" customFormat="false" ht="27.75" hidden="false" customHeight="true" outlineLevel="0" collapsed="false">
      <c r="A21" s="26" t="s">
        <v>340</v>
      </c>
      <c r="B21" s="27" t="s">
        <v>341</v>
      </c>
    </row>
    <row r="22" customFormat="false" ht="42" hidden="false" customHeight="true" outlineLevel="0" collapsed="false">
      <c r="A22" s="26" t="s">
        <v>342</v>
      </c>
      <c r="B22" s="27" t="s">
        <v>343</v>
      </c>
    </row>
    <row r="23" customFormat="false" ht="42" hidden="false" customHeight="true" outlineLevel="0" collapsed="false">
      <c r="A23" s="26" t="s">
        <v>344</v>
      </c>
      <c r="B23" s="27" t="s">
        <v>345</v>
      </c>
    </row>
    <row r="24" customFormat="false" ht="27.75" hidden="false" customHeight="true" outlineLevel="0" collapsed="false">
      <c r="A24" s="26" t="s">
        <v>346</v>
      </c>
      <c r="B24" s="27" t="s">
        <v>347</v>
      </c>
    </row>
    <row r="26" customFormat="false" ht="19.5" hidden="false" customHeight="true" outlineLevel="0" collapsed="false">
      <c r="A26" s="25" t="s">
        <v>348</v>
      </c>
    </row>
    <row r="27" customFormat="false" ht="27.75" hidden="false" customHeight="true" outlineLevel="0" collapsed="false">
      <c r="A27" s="26" t="s">
        <v>349</v>
      </c>
      <c r="B27" s="27" t="s">
        <v>350</v>
      </c>
    </row>
    <row r="28" customFormat="false" ht="42" hidden="false" customHeight="true" outlineLevel="0" collapsed="false">
      <c r="A28" s="26" t="s">
        <v>351</v>
      </c>
      <c r="B28" s="27" t="s">
        <v>352</v>
      </c>
    </row>
    <row r="29" customFormat="false" ht="15.75" hidden="false" customHeight="true" outlineLevel="0" collapsed="false">
      <c r="A29" s="26" t="s">
        <v>353</v>
      </c>
      <c r="B29" s="27" t="s">
        <v>354</v>
      </c>
    </row>
    <row r="30" customFormat="false" ht="42" hidden="false" customHeight="true" outlineLevel="0" collapsed="false">
      <c r="A30" s="26" t="s">
        <v>355</v>
      </c>
      <c r="B30" s="27" t="s">
        <v>356</v>
      </c>
    </row>
    <row r="31" customFormat="false" ht="27.75" hidden="false" customHeight="true" outlineLevel="0" collapsed="false">
      <c r="A31" s="26" t="s">
        <v>357</v>
      </c>
      <c r="B31" s="27" t="s">
        <v>358</v>
      </c>
    </row>
    <row r="33" customFormat="false" ht="19.5" hidden="false" customHeight="true" outlineLevel="0" collapsed="false">
      <c r="A33" s="25" t="s">
        <v>359</v>
      </c>
    </row>
    <row r="34" customFormat="false" ht="27.75" hidden="false" customHeight="true" outlineLevel="0" collapsed="false">
      <c r="A34" s="26" t="s">
        <v>360</v>
      </c>
      <c r="B34" s="27" t="s">
        <v>361</v>
      </c>
    </row>
    <row r="35" customFormat="false" ht="27.75" hidden="false" customHeight="true" outlineLevel="0" collapsed="false">
      <c r="A35" s="26" t="s">
        <v>362</v>
      </c>
      <c r="B35" s="27" t="s">
        <v>363</v>
      </c>
    </row>
    <row r="36" customFormat="false" ht="27.75" hidden="false" customHeight="true" outlineLevel="0" collapsed="false">
      <c r="A36" s="26" t="s">
        <v>364</v>
      </c>
      <c r="B36" s="27" t="s">
        <v>365</v>
      </c>
    </row>
    <row r="37" customFormat="false" ht="27.75" hidden="false" customHeight="true" outlineLevel="0" collapsed="false">
      <c r="A37" s="26" t="s">
        <v>366</v>
      </c>
      <c r="B37" s="27" t="s">
        <v>367</v>
      </c>
    </row>
    <row r="38" customFormat="false" ht="15.75" hidden="false" customHeight="true" outlineLevel="0" collapsed="false">
      <c r="A38" s="26" t="s">
        <v>368</v>
      </c>
      <c r="B38" s="27" t="s">
        <v>369</v>
      </c>
    </row>
    <row r="39" customFormat="false" ht="15.75" hidden="false" customHeight="true" outlineLevel="0" collapsed="false">
      <c r="A39" s="26" t="s">
        <v>370</v>
      </c>
      <c r="B39" s="27" t="s">
        <v>371</v>
      </c>
    </row>
    <row r="40" customFormat="false" ht="15.75" hidden="false" customHeight="true" outlineLevel="0" collapsed="false">
      <c r="A40" s="26" t="s">
        <v>372</v>
      </c>
      <c r="B40" s="27" t="s">
        <v>373</v>
      </c>
    </row>
    <row r="42" customFormat="false" ht="19.5" hidden="false" customHeight="true" outlineLevel="0" collapsed="false">
      <c r="A42" s="25" t="s">
        <v>374</v>
      </c>
    </row>
    <row r="43" customFormat="false" ht="55.5" hidden="false" customHeight="true" outlineLevel="0" collapsed="false">
      <c r="A43" s="26" t="s">
        <v>375</v>
      </c>
      <c r="B43" s="27" t="s">
        <v>376</v>
      </c>
    </row>
    <row r="45" customFormat="false" ht="15" hidden="false" customHeight="false" outlineLevel="0" collapsed="false">
      <c r="A45" s="28" t="s">
        <v>377</v>
      </c>
    </row>
    <row r="46" customFormat="false" ht="23.85" hidden="false" customHeight="false" outlineLevel="0" collapsed="false">
      <c r="A46" s="29" t="s">
        <v>378</v>
      </c>
      <c r="B46" s="30" t="s">
        <v>379</v>
      </c>
    </row>
    <row r="47" customFormat="false" ht="35.05" hidden="false" customHeight="false" outlineLevel="0" collapsed="false">
      <c r="A47" s="29" t="s">
        <v>380</v>
      </c>
      <c r="B47" s="30" t="s">
        <v>381</v>
      </c>
    </row>
    <row r="48" customFormat="false" ht="23.85" hidden="false" customHeight="false" outlineLevel="0" collapsed="false">
      <c r="A48" s="29" t="s">
        <v>382</v>
      </c>
      <c r="B48" s="30" t="s">
        <v>383</v>
      </c>
    </row>
    <row r="49" customFormat="false" ht="23.85" hidden="false" customHeight="false" outlineLevel="0" collapsed="false">
      <c r="A49" s="29" t="s">
        <v>384</v>
      </c>
      <c r="B49" s="30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6"/>
    <col collapsed="false" customWidth="true" hidden="false" outlineLevel="0" max="4" min="4" style="1" width="38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48"/>
  </cols>
  <sheetData>
    <row r="1" customFormat="false" ht="31.5" hidden="false" customHeight="true" outlineLevel="0" collapsed="false">
      <c r="A1" s="3" t="s">
        <v>386</v>
      </c>
      <c r="B1" s="3" t="s">
        <v>298</v>
      </c>
      <c r="C1" s="3" t="s">
        <v>387</v>
      </c>
      <c r="D1" s="3" t="s">
        <v>388</v>
      </c>
      <c r="E1" s="3" t="s">
        <v>389</v>
      </c>
      <c r="F1" s="3" t="s">
        <v>390</v>
      </c>
      <c r="G1" s="3" t="s">
        <v>391</v>
      </c>
    </row>
    <row r="2" customFormat="false" ht="48" hidden="false" customHeight="true" outlineLevel="0" collapsed="false">
      <c r="A2" s="31" t="n">
        <v>1</v>
      </c>
      <c r="B2" s="32" t="s">
        <v>392</v>
      </c>
      <c r="C2" s="33" t="s">
        <v>393</v>
      </c>
      <c r="D2" s="8" t="s">
        <v>394</v>
      </c>
      <c r="E2" s="34" t="s">
        <v>395</v>
      </c>
      <c r="F2" s="35" t="s">
        <v>218</v>
      </c>
      <c r="G2" s="8" t="s">
        <v>396</v>
      </c>
    </row>
    <row r="3" customFormat="false" ht="48" hidden="false" customHeight="true" outlineLevel="0" collapsed="false">
      <c r="A3" s="31" t="n">
        <v>2</v>
      </c>
      <c r="B3" s="32" t="s">
        <v>392</v>
      </c>
      <c r="C3" s="33" t="s">
        <v>225</v>
      </c>
      <c r="D3" s="8" t="s">
        <v>397</v>
      </c>
      <c r="E3" s="34" t="s">
        <v>395</v>
      </c>
      <c r="F3" s="35" t="s">
        <v>224</v>
      </c>
      <c r="G3" s="8" t="s">
        <v>398</v>
      </c>
    </row>
    <row r="4" customFormat="false" ht="48" hidden="false" customHeight="true" outlineLevel="0" collapsed="false">
      <c r="A4" s="31" t="n">
        <v>3</v>
      </c>
      <c r="B4" s="32" t="s">
        <v>392</v>
      </c>
      <c r="C4" s="33" t="s">
        <v>399</v>
      </c>
      <c r="D4" s="8" t="s">
        <v>400</v>
      </c>
      <c r="E4" s="36" t="s">
        <v>401</v>
      </c>
      <c r="F4" s="37" t="s">
        <v>136</v>
      </c>
      <c r="G4" s="8" t="s">
        <v>402</v>
      </c>
    </row>
    <row r="5" customFormat="false" ht="48" hidden="false" customHeight="true" outlineLevel="0" collapsed="false">
      <c r="A5" s="31" t="n">
        <v>4</v>
      </c>
      <c r="B5" s="32" t="s">
        <v>392</v>
      </c>
      <c r="C5" s="33" t="s">
        <v>403</v>
      </c>
      <c r="D5" s="8" t="s">
        <v>404</v>
      </c>
      <c r="E5" s="36" t="s">
        <v>401</v>
      </c>
      <c r="F5" s="37" t="s">
        <v>70</v>
      </c>
      <c r="G5" s="8" t="s">
        <v>405</v>
      </c>
    </row>
    <row r="6" customFormat="false" ht="48" hidden="false" customHeight="true" outlineLevel="0" collapsed="false">
      <c r="A6" s="31" t="n">
        <v>5</v>
      </c>
      <c r="B6" s="32" t="s">
        <v>392</v>
      </c>
      <c r="C6" s="33" t="s">
        <v>406</v>
      </c>
      <c r="D6" s="8" t="s">
        <v>407</v>
      </c>
      <c r="E6" s="38" t="s">
        <v>408</v>
      </c>
      <c r="F6" s="37" t="s">
        <v>77</v>
      </c>
      <c r="G6" s="8" t="s">
        <v>409</v>
      </c>
    </row>
    <row r="7" customFormat="false" ht="48" hidden="false" customHeight="true" outlineLevel="0" collapsed="false">
      <c r="A7" s="31" t="n">
        <v>6</v>
      </c>
      <c r="B7" s="32" t="s">
        <v>392</v>
      </c>
      <c r="C7" s="33" t="s">
        <v>410</v>
      </c>
      <c r="D7" s="8" t="s">
        <v>411</v>
      </c>
      <c r="E7" s="39" t="s">
        <v>412</v>
      </c>
      <c r="F7" s="37" t="s">
        <v>413</v>
      </c>
      <c r="G7" s="8" t="s">
        <v>414</v>
      </c>
    </row>
    <row r="8" customFormat="false" ht="48" hidden="false" customHeight="true" outlineLevel="0" collapsed="false">
      <c r="A8" s="31" t="n">
        <v>7</v>
      </c>
      <c r="B8" s="32" t="s">
        <v>392</v>
      </c>
      <c r="C8" s="33" t="s">
        <v>230</v>
      </c>
      <c r="D8" s="8" t="s">
        <v>415</v>
      </c>
      <c r="E8" s="34" t="s">
        <v>395</v>
      </c>
      <c r="F8" s="35" t="s">
        <v>229</v>
      </c>
      <c r="G8" s="8" t="s">
        <v>416</v>
      </c>
    </row>
    <row r="9" customFormat="false" ht="48" hidden="false" customHeight="true" outlineLevel="0" collapsed="false">
      <c r="A9" s="31" t="n">
        <v>8</v>
      </c>
      <c r="B9" s="32" t="s">
        <v>392</v>
      </c>
      <c r="C9" s="33" t="s">
        <v>417</v>
      </c>
      <c r="D9" s="8" t="s">
        <v>418</v>
      </c>
      <c r="E9" s="36" t="s">
        <v>401</v>
      </c>
      <c r="F9" s="37" t="s">
        <v>7</v>
      </c>
      <c r="G9" s="8" t="s">
        <v>419</v>
      </c>
    </row>
    <row r="10" customFormat="false" ht="48" hidden="false" customHeight="true" outlineLevel="0" collapsed="false">
      <c r="A10" s="31" t="n">
        <v>9</v>
      </c>
      <c r="B10" s="32" t="s">
        <v>392</v>
      </c>
      <c r="C10" s="33" t="s">
        <v>420</v>
      </c>
      <c r="D10" s="8" t="s">
        <v>421</v>
      </c>
      <c r="E10" s="39" t="s">
        <v>412</v>
      </c>
      <c r="F10" s="37" t="s">
        <v>413</v>
      </c>
      <c r="G10" s="8" t="s">
        <v>422</v>
      </c>
    </row>
    <row r="11" customFormat="false" ht="48" hidden="false" customHeight="true" outlineLevel="0" collapsed="false">
      <c r="A11" s="31" t="n">
        <v>10</v>
      </c>
      <c r="B11" s="32" t="s">
        <v>392</v>
      </c>
      <c r="C11" s="33" t="s">
        <v>423</v>
      </c>
      <c r="D11" s="8" t="s">
        <v>424</v>
      </c>
      <c r="E11" s="39" t="s">
        <v>412</v>
      </c>
      <c r="F11" s="37" t="s">
        <v>413</v>
      </c>
      <c r="G11" s="8" t="s">
        <v>425</v>
      </c>
    </row>
    <row r="12" customFormat="false" ht="48" hidden="false" customHeight="true" outlineLevel="0" collapsed="false">
      <c r="A12" s="31" t="n">
        <v>11</v>
      </c>
      <c r="B12" s="32" t="s">
        <v>392</v>
      </c>
      <c r="C12" s="33" t="s">
        <v>426</v>
      </c>
      <c r="D12" s="8" t="s">
        <v>427</v>
      </c>
      <c r="E12" s="39" t="s">
        <v>412</v>
      </c>
      <c r="F12" s="37" t="s">
        <v>413</v>
      </c>
      <c r="G12" s="8" t="s">
        <v>428</v>
      </c>
    </row>
    <row r="13" customFormat="false" ht="48" hidden="false" customHeight="true" outlineLevel="0" collapsed="false">
      <c r="A13" s="31" t="n">
        <v>12</v>
      </c>
      <c r="B13" s="32" t="s">
        <v>392</v>
      </c>
      <c r="C13" s="33" t="s">
        <v>429</v>
      </c>
      <c r="D13" s="8" t="s">
        <v>430</v>
      </c>
      <c r="E13" s="39" t="s">
        <v>412</v>
      </c>
      <c r="F13" s="37" t="s">
        <v>413</v>
      </c>
      <c r="G13" s="8" t="s">
        <v>431</v>
      </c>
    </row>
    <row r="14" customFormat="false" ht="48" hidden="false" customHeight="true" outlineLevel="0" collapsed="false">
      <c r="A14" s="40" t="n">
        <v>13</v>
      </c>
      <c r="B14" s="41" t="s">
        <v>432</v>
      </c>
      <c r="C14" s="33" t="s">
        <v>433</v>
      </c>
      <c r="D14" s="8" t="s">
        <v>434</v>
      </c>
      <c r="E14" s="38" t="s">
        <v>408</v>
      </c>
      <c r="F14" s="37" t="s">
        <v>194</v>
      </c>
      <c r="G14" s="8" t="s">
        <v>435</v>
      </c>
    </row>
    <row r="15" customFormat="false" ht="48" hidden="false" customHeight="true" outlineLevel="0" collapsed="false">
      <c r="A15" s="40" t="n">
        <v>14</v>
      </c>
      <c r="B15" s="41" t="s">
        <v>432</v>
      </c>
      <c r="C15" s="33" t="s">
        <v>436</v>
      </c>
      <c r="D15" s="8" t="s">
        <v>437</v>
      </c>
      <c r="E15" s="36" t="s">
        <v>401</v>
      </c>
      <c r="F15" s="37" t="s">
        <v>194</v>
      </c>
      <c r="G15" s="8" t="s">
        <v>438</v>
      </c>
    </row>
    <row r="16" customFormat="false" ht="48" hidden="false" customHeight="true" outlineLevel="0" collapsed="false">
      <c r="A16" s="40" t="n">
        <v>15</v>
      </c>
      <c r="B16" s="41" t="s">
        <v>432</v>
      </c>
      <c r="C16" s="33" t="s">
        <v>235</v>
      </c>
      <c r="D16" s="8" t="s">
        <v>439</v>
      </c>
      <c r="E16" s="34" t="s">
        <v>395</v>
      </c>
      <c r="F16" s="35" t="s">
        <v>234</v>
      </c>
      <c r="G16" s="8" t="s">
        <v>440</v>
      </c>
    </row>
    <row r="17" customFormat="false" ht="48" hidden="false" customHeight="true" outlineLevel="0" collapsed="false">
      <c r="A17" s="40" t="n">
        <v>16</v>
      </c>
      <c r="B17" s="41" t="s">
        <v>432</v>
      </c>
      <c r="C17" s="33" t="s">
        <v>441</v>
      </c>
      <c r="D17" s="8" t="s">
        <v>442</v>
      </c>
      <c r="E17" s="38" t="s">
        <v>408</v>
      </c>
      <c r="F17" s="37" t="s">
        <v>443</v>
      </c>
      <c r="G17" s="8" t="s">
        <v>444</v>
      </c>
    </row>
    <row r="18" customFormat="false" ht="48" hidden="false" customHeight="true" outlineLevel="0" collapsed="false">
      <c r="A18" s="40" t="n">
        <v>17</v>
      </c>
      <c r="B18" s="41" t="s">
        <v>432</v>
      </c>
      <c r="C18" s="33" t="s">
        <v>445</v>
      </c>
      <c r="D18" s="8" t="s">
        <v>446</v>
      </c>
      <c r="E18" s="36" t="s">
        <v>401</v>
      </c>
      <c r="F18" s="37" t="s">
        <v>107</v>
      </c>
      <c r="G18" s="8" t="s">
        <v>447</v>
      </c>
    </row>
    <row r="19" customFormat="false" ht="48" hidden="false" customHeight="true" outlineLevel="0" collapsed="false">
      <c r="A19" s="40" t="n">
        <v>18</v>
      </c>
      <c r="B19" s="41" t="s">
        <v>432</v>
      </c>
      <c r="C19" s="33" t="s">
        <v>448</v>
      </c>
      <c r="D19" s="8" t="s">
        <v>449</v>
      </c>
      <c r="E19" s="38" t="s">
        <v>408</v>
      </c>
      <c r="F19" s="37" t="s">
        <v>450</v>
      </c>
      <c r="G19" s="8" t="s">
        <v>451</v>
      </c>
    </row>
    <row r="20" customFormat="false" ht="48" hidden="false" customHeight="true" outlineLevel="0" collapsed="false">
      <c r="A20" s="40" t="n">
        <v>19</v>
      </c>
      <c r="B20" s="41" t="s">
        <v>432</v>
      </c>
      <c r="C20" s="33" t="s">
        <v>452</v>
      </c>
      <c r="D20" s="8" t="s">
        <v>453</v>
      </c>
      <c r="E20" s="38" t="s">
        <v>408</v>
      </c>
      <c r="F20" s="37" t="s">
        <v>89</v>
      </c>
      <c r="G20" s="8" t="s">
        <v>454</v>
      </c>
    </row>
    <row r="21" customFormat="false" ht="48" hidden="false" customHeight="true" outlineLevel="0" collapsed="false">
      <c r="A21" s="40" t="n">
        <v>20</v>
      </c>
      <c r="B21" s="41" t="s">
        <v>432</v>
      </c>
      <c r="C21" s="33" t="s">
        <v>455</v>
      </c>
      <c r="D21" s="8" t="s">
        <v>456</v>
      </c>
      <c r="E21" s="38" t="s">
        <v>408</v>
      </c>
      <c r="F21" s="37" t="s">
        <v>457</v>
      </c>
      <c r="G21" s="8" t="s">
        <v>458</v>
      </c>
    </row>
    <row r="22" customFormat="false" ht="48" hidden="false" customHeight="true" outlineLevel="0" collapsed="false">
      <c r="A22" s="40" t="n">
        <v>21</v>
      </c>
      <c r="B22" s="41" t="s">
        <v>432</v>
      </c>
      <c r="C22" s="33" t="s">
        <v>459</v>
      </c>
      <c r="D22" s="8" t="s">
        <v>460</v>
      </c>
      <c r="E22" s="38" t="s">
        <v>408</v>
      </c>
      <c r="F22" s="37" t="s">
        <v>461</v>
      </c>
      <c r="G22" s="8" t="s">
        <v>462</v>
      </c>
    </row>
    <row r="23" customFormat="false" ht="48" hidden="false" customHeight="true" outlineLevel="0" collapsed="false">
      <c r="A23" s="42" t="n">
        <v>22</v>
      </c>
      <c r="B23" s="43" t="s">
        <v>463</v>
      </c>
      <c r="C23" s="33" t="s">
        <v>240</v>
      </c>
      <c r="D23" s="8" t="s">
        <v>464</v>
      </c>
      <c r="E23" s="34" t="s">
        <v>395</v>
      </c>
      <c r="F23" s="35" t="s">
        <v>239</v>
      </c>
      <c r="G23" s="8" t="s">
        <v>465</v>
      </c>
    </row>
    <row r="24" customFormat="false" ht="48" hidden="false" customHeight="true" outlineLevel="0" collapsed="false">
      <c r="A24" s="42" t="n">
        <v>23</v>
      </c>
      <c r="B24" s="43" t="s">
        <v>463</v>
      </c>
      <c r="C24" s="33" t="s">
        <v>466</v>
      </c>
      <c r="D24" s="8" t="s">
        <v>467</v>
      </c>
      <c r="E24" s="39" t="s">
        <v>412</v>
      </c>
      <c r="F24" s="37" t="s">
        <v>413</v>
      </c>
      <c r="G24" s="8" t="s">
        <v>468</v>
      </c>
    </row>
    <row r="25" customFormat="false" ht="48" hidden="false" customHeight="true" outlineLevel="0" collapsed="false">
      <c r="A25" s="42" t="n">
        <v>24</v>
      </c>
      <c r="B25" s="43" t="s">
        <v>463</v>
      </c>
      <c r="C25" s="33" t="s">
        <v>469</v>
      </c>
      <c r="D25" s="8" t="s">
        <v>470</v>
      </c>
      <c r="E25" s="38" t="s">
        <v>408</v>
      </c>
      <c r="F25" s="37" t="s">
        <v>70</v>
      </c>
      <c r="G25" s="8" t="s">
        <v>471</v>
      </c>
    </row>
    <row r="26" customFormat="false" ht="48" hidden="false" customHeight="true" outlineLevel="0" collapsed="false">
      <c r="A26" s="42" t="n">
        <v>25</v>
      </c>
      <c r="B26" s="43" t="s">
        <v>463</v>
      </c>
      <c r="C26" s="33" t="s">
        <v>472</v>
      </c>
      <c r="D26" s="8" t="s">
        <v>473</v>
      </c>
      <c r="E26" s="38" t="s">
        <v>408</v>
      </c>
      <c r="F26" s="37" t="s">
        <v>63</v>
      </c>
      <c r="G26" s="8" t="s">
        <v>474</v>
      </c>
    </row>
    <row r="27" customFormat="false" ht="48" hidden="false" customHeight="true" outlineLevel="0" collapsed="false">
      <c r="A27" s="42" t="n">
        <v>26</v>
      </c>
      <c r="B27" s="43" t="s">
        <v>463</v>
      </c>
      <c r="C27" s="33" t="s">
        <v>245</v>
      </c>
      <c r="D27" s="8" t="s">
        <v>475</v>
      </c>
      <c r="E27" s="34" t="s">
        <v>395</v>
      </c>
      <c r="F27" s="35" t="s">
        <v>244</v>
      </c>
      <c r="G27" s="8" t="s">
        <v>476</v>
      </c>
    </row>
    <row r="28" customFormat="false" ht="48" hidden="false" customHeight="true" outlineLevel="0" collapsed="false">
      <c r="A28" s="42" t="n">
        <v>27</v>
      </c>
      <c r="B28" s="43" t="s">
        <v>463</v>
      </c>
      <c r="C28" s="33" t="s">
        <v>477</v>
      </c>
      <c r="D28" s="8" t="s">
        <v>478</v>
      </c>
      <c r="E28" s="36" t="s">
        <v>401</v>
      </c>
      <c r="F28" s="37" t="s">
        <v>136</v>
      </c>
      <c r="G28" s="8" t="s">
        <v>479</v>
      </c>
    </row>
    <row r="29" customFormat="false" ht="48" hidden="false" customHeight="true" outlineLevel="0" collapsed="false">
      <c r="A29" s="42" t="n">
        <v>28</v>
      </c>
      <c r="B29" s="43" t="s">
        <v>463</v>
      </c>
      <c r="C29" s="33" t="s">
        <v>480</v>
      </c>
      <c r="D29" s="8" t="s">
        <v>481</v>
      </c>
      <c r="E29" s="39" t="s">
        <v>412</v>
      </c>
      <c r="F29" s="37" t="s">
        <v>413</v>
      </c>
      <c r="G29" s="8" t="s">
        <v>482</v>
      </c>
    </row>
    <row r="30" customFormat="false" ht="48" hidden="false" customHeight="true" outlineLevel="0" collapsed="false">
      <c r="A30" s="42" t="n">
        <v>29</v>
      </c>
      <c r="B30" s="43" t="s">
        <v>463</v>
      </c>
      <c r="C30" s="33" t="s">
        <v>483</v>
      </c>
      <c r="D30" s="8" t="s">
        <v>484</v>
      </c>
      <c r="E30" s="38" t="s">
        <v>408</v>
      </c>
      <c r="F30" s="37" t="s">
        <v>101</v>
      </c>
      <c r="G30" s="8" t="s">
        <v>485</v>
      </c>
    </row>
    <row r="31" customFormat="false" ht="48" hidden="false" customHeight="true" outlineLevel="0" collapsed="false">
      <c r="A31" s="44" t="n">
        <v>30</v>
      </c>
      <c r="B31" s="45" t="s">
        <v>486</v>
      </c>
      <c r="C31" s="33" t="s">
        <v>487</v>
      </c>
      <c r="D31" s="8" t="s">
        <v>488</v>
      </c>
      <c r="E31" s="36" t="s">
        <v>401</v>
      </c>
      <c r="F31" s="37" t="s">
        <v>200</v>
      </c>
      <c r="G31" s="8" t="s">
        <v>489</v>
      </c>
    </row>
    <row r="32" customFormat="false" ht="48" hidden="false" customHeight="true" outlineLevel="0" collapsed="false">
      <c r="A32" s="44" t="n">
        <v>31</v>
      </c>
      <c r="B32" s="45" t="s">
        <v>486</v>
      </c>
      <c r="C32" s="33" t="s">
        <v>250</v>
      </c>
      <c r="D32" s="8" t="s">
        <v>490</v>
      </c>
      <c r="E32" s="34" t="s">
        <v>395</v>
      </c>
      <c r="F32" s="35" t="s">
        <v>249</v>
      </c>
      <c r="G32" s="8" t="s">
        <v>491</v>
      </c>
    </row>
    <row r="33" customFormat="false" ht="48" hidden="false" customHeight="true" outlineLevel="0" collapsed="false">
      <c r="A33" s="44" t="n">
        <v>32</v>
      </c>
      <c r="B33" s="45" t="s">
        <v>486</v>
      </c>
      <c r="C33" s="33" t="s">
        <v>256</v>
      </c>
      <c r="D33" s="8" t="s">
        <v>492</v>
      </c>
      <c r="E33" s="34" t="s">
        <v>395</v>
      </c>
      <c r="F33" s="35" t="s">
        <v>255</v>
      </c>
      <c r="G33" s="8" t="s">
        <v>493</v>
      </c>
    </row>
    <row r="34" customFormat="false" ht="48" hidden="false" customHeight="true" outlineLevel="0" collapsed="false">
      <c r="A34" s="44" t="n">
        <v>33</v>
      </c>
      <c r="B34" s="45" t="s">
        <v>486</v>
      </c>
      <c r="C34" s="33" t="s">
        <v>494</v>
      </c>
      <c r="D34" s="8" t="s">
        <v>495</v>
      </c>
      <c r="E34" s="36" t="s">
        <v>401</v>
      </c>
      <c r="F34" s="37" t="s">
        <v>496</v>
      </c>
      <c r="G34" s="8" t="s">
        <v>497</v>
      </c>
    </row>
    <row r="35" customFormat="false" ht="48" hidden="false" customHeight="true" outlineLevel="0" collapsed="false">
      <c r="A35" s="44" t="n">
        <v>34</v>
      </c>
      <c r="B35" s="45" t="s">
        <v>486</v>
      </c>
      <c r="C35" s="33" t="s">
        <v>498</v>
      </c>
      <c r="D35" s="8" t="s">
        <v>499</v>
      </c>
      <c r="E35" s="39" t="s">
        <v>412</v>
      </c>
      <c r="F35" s="37" t="s">
        <v>413</v>
      </c>
      <c r="G35" s="8" t="s">
        <v>500</v>
      </c>
    </row>
    <row r="36" customFormat="false" ht="48" hidden="false" customHeight="true" outlineLevel="0" collapsed="false">
      <c r="A36" s="44" t="n">
        <v>35</v>
      </c>
      <c r="B36" s="45" t="s">
        <v>486</v>
      </c>
      <c r="C36" s="33" t="s">
        <v>501</v>
      </c>
      <c r="D36" s="8" t="s">
        <v>502</v>
      </c>
      <c r="E36" s="36" t="s">
        <v>401</v>
      </c>
      <c r="F36" s="37" t="s">
        <v>503</v>
      </c>
      <c r="G36" s="8" t="s">
        <v>504</v>
      </c>
    </row>
    <row r="37" customFormat="false" ht="48" hidden="false" customHeight="true" outlineLevel="0" collapsed="false">
      <c r="A37" s="46" t="n">
        <v>36</v>
      </c>
      <c r="B37" s="47" t="s">
        <v>505</v>
      </c>
      <c r="C37" s="33" t="s">
        <v>261</v>
      </c>
      <c r="D37" s="8" t="s">
        <v>506</v>
      </c>
      <c r="E37" s="34" t="s">
        <v>395</v>
      </c>
      <c r="F37" s="35" t="s">
        <v>260</v>
      </c>
      <c r="G37" s="8" t="s">
        <v>507</v>
      </c>
    </row>
    <row r="38" customFormat="false" ht="48" hidden="false" customHeight="true" outlineLevel="0" collapsed="false">
      <c r="A38" s="46" t="n">
        <v>37</v>
      </c>
      <c r="B38" s="47" t="s">
        <v>505</v>
      </c>
      <c r="C38" s="33" t="s">
        <v>265</v>
      </c>
      <c r="D38" s="8" t="s">
        <v>508</v>
      </c>
      <c r="E38" s="34" t="s">
        <v>395</v>
      </c>
      <c r="F38" s="35" t="s">
        <v>264</v>
      </c>
      <c r="G38" s="8" t="s">
        <v>509</v>
      </c>
    </row>
    <row r="39" customFormat="false" ht="48" hidden="false" customHeight="true" outlineLevel="0" collapsed="false">
      <c r="A39" s="46" t="n">
        <v>38</v>
      </c>
      <c r="B39" s="47" t="s">
        <v>505</v>
      </c>
      <c r="C39" s="33" t="s">
        <v>269</v>
      </c>
      <c r="D39" s="8" t="s">
        <v>510</v>
      </c>
      <c r="E39" s="34" t="s">
        <v>395</v>
      </c>
      <c r="F39" s="35" t="s">
        <v>268</v>
      </c>
      <c r="G39" s="8" t="s">
        <v>511</v>
      </c>
    </row>
    <row r="40" customFormat="false" ht="48" hidden="false" customHeight="true" outlineLevel="0" collapsed="false">
      <c r="A40" s="46" t="n">
        <v>39</v>
      </c>
      <c r="B40" s="47" t="s">
        <v>505</v>
      </c>
      <c r="C40" s="33" t="s">
        <v>274</v>
      </c>
      <c r="D40" s="8" t="s">
        <v>512</v>
      </c>
      <c r="E40" s="34" t="s">
        <v>395</v>
      </c>
      <c r="F40" s="35" t="s">
        <v>273</v>
      </c>
      <c r="G40" s="8" t="s">
        <v>513</v>
      </c>
    </row>
    <row r="41" customFormat="false" ht="48" hidden="false" customHeight="true" outlineLevel="0" collapsed="false">
      <c r="A41" s="46" t="n">
        <v>40</v>
      </c>
      <c r="B41" s="47" t="s">
        <v>505</v>
      </c>
      <c r="C41" s="33" t="s">
        <v>514</v>
      </c>
      <c r="D41" s="8" t="s">
        <v>515</v>
      </c>
      <c r="E41" s="36" t="s">
        <v>401</v>
      </c>
      <c r="F41" s="37" t="s">
        <v>200</v>
      </c>
      <c r="G41" s="8" t="s">
        <v>516</v>
      </c>
    </row>
    <row r="42" customFormat="false" ht="48" hidden="false" customHeight="true" outlineLevel="0" collapsed="false">
      <c r="A42" s="48" t="n">
        <v>41</v>
      </c>
      <c r="B42" s="49" t="s">
        <v>517</v>
      </c>
      <c r="C42" s="33" t="s">
        <v>277</v>
      </c>
      <c r="D42" s="8" t="s">
        <v>518</v>
      </c>
      <c r="E42" s="34" t="s">
        <v>395</v>
      </c>
      <c r="F42" s="35" t="s">
        <v>276</v>
      </c>
      <c r="G42" s="8" t="s">
        <v>519</v>
      </c>
    </row>
    <row r="43" customFormat="false" ht="48" hidden="false" customHeight="true" outlineLevel="0" collapsed="false">
      <c r="A43" s="48" t="n">
        <v>42</v>
      </c>
      <c r="B43" s="49" t="s">
        <v>517</v>
      </c>
      <c r="C43" s="33" t="s">
        <v>281</v>
      </c>
      <c r="D43" s="8" t="s">
        <v>520</v>
      </c>
      <c r="E43" s="34" t="s">
        <v>395</v>
      </c>
      <c r="F43" s="35" t="s">
        <v>280</v>
      </c>
      <c r="G43" s="8" t="s">
        <v>521</v>
      </c>
    </row>
    <row r="44" customFormat="false" ht="48" hidden="false" customHeight="true" outlineLevel="0" collapsed="false">
      <c r="A44" s="48" t="n">
        <v>43</v>
      </c>
      <c r="B44" s="49" t="s">
        <v>517</v>
      </c>
      <c r="C44" s="33" t="s">
        <v>284</v>
      </c>
      <c r="D44" s="8" t="s">
        <v>522</v>
      </c>
      <c r="E44" s="34" t="s">
        <v>395</v>
      </c>
      <c r="F44" s="35" t="s">
        <v>283</v>
      </c>
      <c r="G44" s="8" t="s">
        <v>523</v>
      </c>
    </row>
    <row r="45" customFormat="false" ht="48" hidden="false" customHeight="true" outlineLevel="0" collapsed="false">
      <c r="A45" s="48" t="n">
        <v>44</v>
      </c>
      <c r="B45" s="49" t="s">
        <v>517</v>
      </c>
      <c r="C45" s="33" t="s">
        <v>524</v>
      </c>
      <c r="D45" s="8" t="s">
        <v>525</v>
      </c>
      <c r="E45" s="36" t="s">
        <v>401</v>
      </c>
      <c r="F45" s="37" t="s">
        <v>526</v>
      </c>
      <c r="G45" s="8" t="s">
        <v>527</v>
      </c>
    </row>
    <row r="46" customFormat="false" ht="48" hidden="false" customHeight="true" outlineLevel="0" collapsed="false">
      <c r="A46" s="48" t="n">
        <v>45</v>
      </c>
      <c r="B46" s="49" t="s">
        <v>517</v>
      </c>
      <c r="C46" s="33" t="s">
        <v>528</v>
      </c>
      <c r="D46" s="8" t="s">
        <v>529</v>
      </c>
      <c r="E46" s="36" t="s">
        <v>401</v>
      </c>
      <c r="F46" s="37" t="s">
        <v>530</v>
      </c>
      <c r="G46" s="8" t="s">
        <v>531</v>
      </c>
    </row>
    <row r="47" customFormat="false" ht="48" hidden="false" customHeight="true" outlineLevel="0" collapsed="false">
      <c r="A47" s="48" t="n">
        <v>46</v>
      </c>
      <c r="B47" s="49" t="s">
        <v>517</v>
      </c>
      <c r="C47" s="33" t="s">
        <v>532</v>
      </c>
      <c r="D47" s="8" t="s">
        <v>533</v>
      </c>
      <c r="E47" s="38" t="s">
        <v>408</v>
      </c>
      <c r="F47" s="37" t="s">
        <v>534</v>
      </c>
      <c r="G47" s="8" t="s">
        <v>535</v>
      </c>
    </row>
    <row r="48" customFormat="false" ht="48" hidden="false" customHeight="true" outlineLevel="0" collapsed="false">
      <c r="A48" s="48" t="n">
        <v>47</v>
      </c>
      <c r="B48" s="49" t="s">
        <v>517</v>
      </c>
      <c r="C48" s="33" t="s">
        <v>288</v>
      </c>
      <c r="D48" s="8" t="s">
        <v>536</v>
      </c>
      <c r="E48" s="34" t="s">
        <v>395</v>
      </c>
      <c r="F48" s="35" t="s">
        <v>287</v>
      </c>
      <c r="G48" s="8" t="s">
        <v>537</v>
      </c>
    </row>
    <row r="49" customFormat="false" ht="48" hidden="false" customHeight="true" outlineLevel="0" collapsed="false">
      <c r="A49" s="48" t="n">
        <v>48</v>
      </c>
      <c r="B49" s="49" t="s">
        <v>517</v>
      </c>
      <c r="C49" s="33" t="s">
        <v>538</v>
      </c>
      <c r="D49" s="8" t="s">
        <v>539</v>
      </c>
      <c r="E49" s="39" t="s">
        <v>412</v>
      </c>
      <c r="F49" s="37" t="s">
        <v>413</v>
      </c>
      <c r="G49" s="8" t="s">
        <v>540</v>
      </c>
    </row>
    <row r="50" customFormat="false" ht="48" hidden="false" customHeight="true" outlineLevel="0" collapsed="false">
      <c r="A50" s="48" t="n">
        <v>49</v>
      </c>
      <c r="B50" s="49" t="s">
        <v>517</v>
      </c>
      <c r="C50" s="33" t="s">
        <v>541</v>
      </c>
      <c r="D50" s="8" t="s">
        <v>542</v>
      </c>
      <c r="E50" s="38" t="s">
        <v>408</v>
      </c>
      <c r="F50" s="37" t="s">
        <v>543</v>
      </c>
      <c r="G50" s="8" t="s">
        <v>544</v>
      </c>
    </row>
    <row r="51" customFormat="false" ht="48" hidden="false" customHeight="true" outlineLevel="0" collapsed="false">
      <c r="A51" s="50" t="n">
        <v>50</v>
      </c>
      <c r="B51" s="51" t="s">
        <v>545</v>
      </c>
      <c r="C51" s="33" t="s">
        <v>546</v>
      </c>
      <c r="D51" s="8" t="s">
        <v>547</v>
      </c>
      <c r="E51" s="36" t="s">
        <v>401</v>
      </c>
      <c r="F51" s="37" t="s">
        <v>107</v>
      </c>
      <c r="G51" s="8" t="s">
        <v>548</v>
      </c>
    </row>
    <row r="52" customFormat="false" ht="48" hidden="false" customHeight="true" outlineLevel="0" collapsed="false">
      <c r="A52" s="50" t="n">
        <v>51</v>
      </c>
      <c r="B52" s="51" t="s">
        <v>545</v>
      </c>
      <c r="C52" s="33" t="s">
        <v>292</v>
      </c>
      <c r="D52" s="8" t="s">
        <v>549</v>
      </c>
      <c r="E52" s="34" t="s">
        <v>395</v>
      </c>
      <c r="F52" s="35" t="s">
        <v>291</v>
      </c>
      <c r="G52" s="8" t="s">
        <v>550</v>
      </c>
    </row>
    <row r="53" customFormat="false" ht="48" hidden="false" customHeight="true" outlineLevel="0" collapsed="false">
      <c r="A53" s="50" t="n">
        <v>52</v>
      </c>
      <c r="B53" s="51" t="s">
        <v>545</v>
      </c>
      <c r="C53" s="33" t="s">
        <v>551</v>
      </c>
      <c r="D53" s="8" t="s">
        <v>552</v>
      </c>
      <c r="E53" s="36" t="s">
        <v>401</v>
      </c>
      <c r="F53" s="37" t="s">
        <v>200</v>
      </c>
      <c r="G53" s="8" t="s">
        <v>553</v>
      </c>
    </row>
    <row r="54" customFormat="false" ht="48" hidden="false" customHeight="true" outlineLevel="0" collapsed="false">
      <c r="A54" s="50" t="n">
        <v>53</v>
      </c>
      <c r="B54" s="51" t="s">
        <v>545</v>
      </c>
      <c r="C54" s="33" t="s">
        <v>296</v>
      </c>
      <c r="D54" s="8" t="s">
        <v>554</v>
      </c>
      <c r="E54" s="34" t="s">
        <v>395</v>
      </c>
      <c r="F54" s="35" t="s">
        <v>295</v>
      </c>
      <c r="G54" s="8" t="s">
        <v>555</v>
      </c>
    </row>
    <row r="56" customFormat="false" ht="15" hidden="false" customHeight="true" outlineLevel="0" collapsed="false">
      <c r="B56" s="25" t="s">
        <v>556</v>
      </c>
    </row>
    <row r="57" customFormat="false" ht="15" hidden="false" customHeight="true" outlineLevel="0" collapsed="false">
      <c r="B57" s="3" t="s">
        <v>389</v>
      </c>
      <c r="C57" s="3" t="s">
        <v>557</v>
      </c>
    </row>
    <row r="58" customFormat="false" ht="15" hidden="false" customHeight="true" outlineLevel="0" collapsed="false">
      <c r="B58" s="52" t="s">
        <v>408</v>
      </c>
      <c r="C58" s="53" t="n">
        <f aca="false">COUNTIF(E2:E54,"Covered")</f>
        <v>12</v>
      </c>
    </row>
    <row r="59" customFormat="false" ht="15" hidden="false" customHeight="true" outlineLevel="0" collapsed="false">
      <c r="B59" s="54" t="s">
        <v>401</v>
      </c>
      <c r="C59" s="53" t="n">
        <f aca="false">COUNTIF(E2:E54,"Partial")</f>
        <v>14</v>
      </c>
    </row>
    <row r="60" customFormat="false" ht="15" hidden="false" customHeight="true" outlineLevel="0" collapsed="false">
      <c r="B60" s="55" t="s">
        <v>558</v>
      </c>
      <c r="C60" s="53" t="n">
        <f aca="false">COUNTIF(E2:E54,"Planned")</f>
        <v>18</v>
      </c>
    </row>
    <row r="61" customFormat="false" ht="15" hidden="false" customHeight="true" outlineLevel="0" collapsed="false">
      <c r="B61" s="56" t="s">
        <v>559</v>
      </c>
      <c r="C61" s="53" t="n">
        <f aca="false">COUNTIF(E2:E54,"Not Covered")</f>
        <v>0</v>
      </c>
    </row>
    <row r="62" customFormat="false" ht="15" hidden="false" customHeight="true" outlineLevel="0" collapsed="false">
      <c r="B62" s="57" t="s">
        <v>560</v>
      </c>
      <c r="C62" s="53" t="n">
        <f aca="false">COUNTIF(E2:E54,"N/A")</f>
        <v>9</v>
      </c>
    </row>
    <row r="63" customFormat="false" ht="15" hidden="false" customHeight="false" outlineLevel="0" collapsed="false">
      <c r="B63" s="58" t="s">
        <v>309</v>
      </c>
      <c r="C63" s="59" t="n">
        <f aca="false">SUM(C58:C62)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2026-08-27T18:29:05Z</dcterms:created>
  <dc:creator>openpyxl</dc:creator>
  <dc:description/>
  <dc:language>en-US</dc:language>
  <cp:lastModifiedBy/>
  <dcterms:modified xsi:type="dcterms:W3CDTF">2026-08-27T18:55:05Z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